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sus\Desktop\Excel\"/>
    </mc:Choice>
  </mc:AlternateContent>
  <xr:revisionPtr revIDLastSave="0" documentId="8_{94F8081C-7E80-468A-8016-EEFB6BE151F8}"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5" r:id="rId2"/>
    <sheet name="PivotTable" sheetId="3" r:id="rId3"/>
    <sheet name="Dashboard" sheetId="2" r:id="rId4"/>
  </sheets>
  <definedNames>
    <definedName name="_xlnm._FilterDatabase" localSheetId="0" hidden="1">bike_buyers!$A$1:$M$1001</definedName>
    <definedName name="_xlnm._FilterDatabase" localSheetId="1" hidden="1">'Working Sheet'!$A$1:$O$1</definedName>
    <definedName name="_xlcn.WorksheetConnection_WorkingSheetA1O10011" hidden="1">'Working Sheet'!$A$1:$O$1001</definedName>
    <definedName name="Slicer_Education">#N/A</definedName>
    <definedName name="Slicer_Marital_Status">#N/A</definedName>
    <definedName name="Slicer_Region">#N/A</definedName>
  </definedNames>
  <calcPr calcId="191029"/>
  <pivotCaches>
    <pivotCache cacheId="372" r:id="rId5"/>
    <pivotCache cacheId="393" r:id="rId6"/>
  </pivotCaches>
  <extLst>
    <ext xmlns:x14="http://schemas.microsoft.com/office/spreadsheetml/2009/9/main" uri="{876F7934-8845-4945-9796-88D515C7AA90}">
      <x14:pivotCaches>
        <pivotCache cacheId="218"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Working Sheet!$A$1:$O$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5" l="1" a="1"/>
  <c r="E3" i="5"/>
  <c r="E4" i="5" a="1"/>
  <c r="E4" i="5" s="1"/>
  <c r="E5" i="5" a="1"/>
  <c r="E5" i="5" s="1"/>
  <c r="E6" i="5" a="1"/>
  <c r="E6" i="5" s="1"/>
  <c r="E7" i="5" a="1"/>
  <c r="E7" i="5"/>
  <c r="E8" i="5" a="1"/>
  <c r="E8" i="5"/>
  <c r="E9" i="5" a="1"/>
  <c r="E9" i="5" s="1"/>
  <c r="E10" i="5" a="1"/>
  <c r="E10" i="5" s="1"/>
  <c r="E11" i="5" a="1"/>
  <c r="E11" i="5"/>
  <c r="E12" i="5" a="1"/>
  <c r="E12" i="5"/>
  <c r="E13" i="5" a="1"/>
  <c r="E13" i="5" s="1"/>
  <c r="E14" i="5" a="1"/>
  <c r="E14" i="5" s="1"/>
  <c r="E15" i="5" a="1"/>
  <c r="E15" i="5" s="1"/>
  <c r="E16" i="5" a="1"/>
  <c r="E16" i="5"/>
  <c r="E17" i="5" a="1"/>
  <c r="E17" i="5" s="1"/>
  <c r="E18" i="5" a="1"/>
  <c r="E18" i="5"/>
  <c r="E19" i="5" a="1"/>
  <c r="E19" i="5" s="1"/>
  <c r="E20" i="5" a="1"/>
  <c r="E20" i="5"/>
  <c r="E21" i="5" a="1"/>
  <c r="E21" i="5"/>
  <c r="E22" i="5" a="1"/>
  <c r="E22" i="5" s="1"/>
  <c r="E23" i="5" a="1"/>
  <c r="E23" i="5" s="1"/>
  <c r="E24" i="5" a="1"/>
  <c r="E24" i="5" s="1"/>
  <c r="E25" i="5" a="1"/>
  <c r="E25" i="5" s="1"/>
  <c r="E26" i="5" a="1"/>
  <c r="E26" i="5"/>
  <c r="E27" i="5" a="1"/>
  <c r="E27" i="5"/>
  <c r="E28" i="5" a="1"/>
  <c r="E28" i="5" s="1"/>
  <c r="E29" i="5" a="1"/>
  <c r="E29" i="5"/>
  <c r="E30" i="5" a="1"/>
  <c r="E30" i="5" s="1"/>
  <c r="E31" i="5" a="1"/>
  <c r="E31" i="5"/>
  <c r="E32" i="5" a="1"/>
  <c r="E32" i="5" s="1"/>
  <c r="E33" i="5" a="1"/>
  <c r="E33" i="5" s="1"/>
  <c r="E34" i="5" a="1"/>
  <c r="E34" i="5" s="1"/>
  <c r="E35" i="5" a="1"/>
  <c r="E35" i="5"/>
  <c r="E36" i="5" a="1"/>
  <c r="E36" i="5"/>
  <c r="E37" i="5" a="1"/>
  <c r="E37" i="5" s="1"/>
  <c r="E38" i="5" a="1"/>
  <c r="E38" i="5" s="1"/>
  <c r="E39" i="5" a="1"/>
  <c r="E39" i="5" s="1"/>
  <c r="E40" i="5" a="1"/>
  <c r="E40" i="5"/>
  <c r="E41" i="5" a="1"/>
  <c r="E41" i="5" s="1"/>
  <c r="E42" i="5" a="1"/>
  <c r="E42" i="5"/>
  <c r="E43" i="5" a="1"/>
  <c r="E43" i="5" s="1"/>
  <c r="E44" i="5" a="1"/>
  <c r="E44" i="5"/>
  <c r="E45" i="5" a="1"/>
  <c r="E45" i="5"/>
  <c r="E46" i="5" a="1"/>
  <c r="E46" i="5" s="1"/>
  <c r="E47" i="5" a="1"/>
  <c r="E47" i="5"/>
  <c r="E48" i="5" a="1"/>
  <c r="E48" i="5" s="1"/>
  <c r="E49" i="5" a="1"/>
  <c r="E49" i="5" s="1"/>
  <c r="E50" i="5" a="1"/>
  <c r="E50" i="5" s="1"/>
  <c r="E51" i="5" a="1"/>
  <c r="E51" i="5" s="1"/>
  <c r="E52" i="5" a="1"/>
  <c r="E52" i="5" s="1"/>
  <c r="E53" i="5" a="1"/>
  <c r="E53" i="5"/>
  <c r="E54" i="5" a="1"/>
  <c r="E54" i="5" s="1"/>
  <c r="E55" i="5" a="1"/>
  <c r="E55" i="5" s="1"/>
  <c r="E56" i="5" a="1"/>
  <c r="E56" i="5"/>
  <c r="E57" i="5" a="1"/>
  <c r="E57" i="5" s="1"/>
  <c r="E58" i="5" a="1"/>
  <c r="E58" i="5"/>
  <c r="E59" i="5" a="1"/>
  <c r="E59" i="5" s="1"/>
  <c r="E60" i="5" a="1"/>
  <c r="E60" i="5" s="1"/>
  <c r="E61" i="5" a="1"/>
  <c r="E61" i="5" s="1"/>
  <c r="E62" i="5" a="1"/>
  <c r="E62" i="5" s="1"/>
  <c r="E63" i="5" a="1"/>
  <c r="E63" i="5" s="1"/>
  <c r="E64" i="5" a="1"/>
  <c r="E64" i="5" s="1"/>
  <c r="E65" i="5" a="1"/>
  <c r="E65" i="5" s="1"/>
  <c r="E66" i="5" a="1"/>
  <c r="E66" i="5"/>
  <c r="E67" i="5" a="1"/>
  <c r="E67" i="5"/>
  <c r="E68" i="5" a="1"/>
  <c r="E68" i="5" s="1"/>
  <c r="E69" i="5" a="1"/>
  <c r="E69" i="5" s="1"/>
  <c r="E70" i="5" a="1"/>
  <c r="E70" i="5" s="1"/>
  <c r="E71" i="5" a="1"/>
  <c r="E71" i="5"/>
  <c r="E72" i="5" a="1"/>
  <c r="E72" i="5" s="1"/>
  <c r="E73" i="5" a="1"/>
  <c r="E73" i="5" s="1"/>
  <c r="E74" i="5" a="1"/>
  <c r="E74" i="5" s="1"/>
  <c r="E75" i="5" a="1"/>
  <c r="E75" i="5"/>
  <c r="E76" i="5" a="1"/>
  <c r="E76" i="5"/>
  <c r="E77" i="5" a="1"/>
  <c r="E77" i="5" s="1"/>
  <c r="E78" i="5" a="1"/>
  <c r="E78" i="5" s="1"/>
  <c r="E79" i="5" a="1"/>
  <c r="E79" i="5"/>
  <c r="E80" i="5" a="1"/>
  <c r="E80" i="5"/>
  <c r="E81" i="5" a="1"/>
  <c r="E81" i="5" s="1"/>
  <c r="E82" i="5" a="1"/>
  <c r="E82" i="5"/>
  <c r="E83" i="5" a="1"/>
  <c r="E83" i="5" s="1"/>
  <c r="E84" i="5" a="1"/>
  <c r="E84" i="5"/>
  <c r="E85" i="5" a="1"/>
  <c r="E85" i="5"/>
  <c r="E86" i="5" a="1"/>
  <c r="E86" i="5" s="1"/>
  <c r="E87" i="5" a="1"/>
  <c r="E87" i="5"/>
  <c r="E88" i="5" a="1"/>
  <c r="E88" i="5"/>
  <c r="E89" i="5" a="1"/>
  <c r="E89" i="5" s="1"/>
  <c r="E90" i="5" a="1"/>
  <c r="E90" i="5"/>
  <c r="E91" i="5" a="1"/>
  <c r="E91" i="5"/>
  <c r="E92" i="5" a="1"/>
  <c r="E92" i="5" s="1"/>
  <c r="E93" i="5" a="1"/>
  <c r="E93" i="5"/>
  <c r="E94" i="5" a="1"/>
  <c r="E94" i="5" s="1"/>
  <c r="E95" i="5" a="1"/>
  <c r="E95" i="5"/>
  <c r="E96" i="5" a="1"/>
  <c r="E96" i="5"/>
  <c r="E97" i="5" a="1"/>
  <c r="E97" i="5" s="1"/>
  <c r="E98" i="5" a="1"/>
  <c r="E98" i="5" s="1"/>
  <c r="E99" i="5" a="1"/>
  <c r="E99" i="5"/>
  <c r="E100" i="5" a="1"/>
  <c r="E100" i="5"/>
  <c r="E101" i="5" a="1"/>
  <c r="E101" i="5" s="1"/>
  <c r="E102" i="5" a="1"/>
  <c r="E102" i="5" s="1"/>
  <c r="E103" i="5" a="1"/>
  <c r="E103" i="5" s="1"/>
  <c r="E104" i="5" a="1"/>
  <c r="E104" i="5"/>
  <c r="E105" i="5" a="1"/>
  <c r="E105" i="5" s="1"/>
  <c r="E106" i="5" a="1"/>
  <c r="E106" i="5" s="1"/>
  <c r="E107" i="5" a="1"/>
  <c r="E107" i="5" s="1"/>
  <c r="E108" i="5" a="1"/>
  <c r="E108" i="5"/>
  <c r="E109" i="5" a="1"/>
  <c r="E109" i="5"/>
  <c r="E110" i="5" a="1"/>
  <c r="E110" i="5" s="1"/>
  <c r="E111" i="5" a="1"/>
  <c r="E111" i="5"/>
  <c r="E112" i="5" a="1"/>
  <c r="E112" i="5" s="1"/>
  <c r="E113" i="5" a="1"/>
  <c r="E113" i="5" s="1"/>
  <c r="E114" i="5" a="1"/>
  <c r="E114" i="5" s="1"/>
  <c r="E115" i="5" a="1"/>
  <c r="E115" i="5" s="1"/>
  <c r="E116" i="5" a="1"/>
  <c r="E116" i="5" s="1"/>
  <c r="E117" i="5" a="1"/>
  <c r="E117" i="5"/>
  <c r="E118" i="5" a="1"/>
  <c r="E118" i="5" s="1"/>
  <c r="E119" i="5" a="1"/>
  <c r="E119" i="5" s="1"/>
  <c r="E120" i="5" a="1"/>
  <c r="E120" i="5"/>
  <c r="E121" i="5" a="1"/>
  <c r="E121" i="5" s="1"/>
  <c r="E122" i="5" a="1"/>
  <c r="E122" i="5"/>
  <c r="E123" i="5" a="1"/>
  <c r="E123" i="5" s="1"/>
  <c r="E124" i="5" a="1"/>
  <c r="E124" i="5" s="1"/>
  <c r="E125" i="5" a="1"/>
  <c r="E125" i="5" s="1"/>
  <c r="E126" i="5" a="1"/>
  <c r="E126" i="5" s="1"/>
  <c r="E127" i="5" a="1"/>
  <c r="E127" i="5" s="1"/>
  <c r="E128" i="5" a="1"/>
  <c r="E128" i="5" s="1"/>
  <c r="E129" i="5" a="1"/>
  <c r="E129" i="5" s="1"/>
  <c r="E130" i="5" a="1"/>
  <c r="E130" i="5"/>
  <c r="E131" i="5" a="1"/>
  <c r="E131" i="5"/>
  <c r="E132" i="5" a="1"/>
  <c r="E132" i="5" s="1"/>
  <c r="E133" i="5" a="1"/>
  <c r="E133" i="5" s="1"/>
  <c r="E134" i="5" a="1"/>
  <c r="E134" i="5" s="1"/>
  <c r="E135" i="5" a="1"/>
  <c r="E135" i="5"/>
  <c r="E136" i="5" a="1"/>
  <c r="E136" i="5" s="1"/>
  <c r="E137" i="5" a="1"/>
  <c r="E137" i="5" s="1"/>
  <c r="E138" i="5" a="1"/>
  <c r="E138" i="5" s="1"/>
  <c r="E139" i="5" a="1"/>
  <c r="E139" i="5"/>
  <c r="E140" i="5" a="1"/>
  <c r="E140" i="5"/>
  <c r="E141" i="5" a="1"/>
  <c r="E141" i="5" s="1"/>
  <c r="E142" i="5" a="1"/>
  <c r="E142" i="5" s="1"/>
  <c r="E143" i="5" a="1"/>
  <c r="E143" i="5"/>
  <c r="E144" i="5" a="1"/>
  <c r="E144" i="5"/>
  <c r="E145" i="5" a="1"/>
  <c r="E145" i="5" s="1"/>
  <c r="E146" i="5" a="1"/>
  <c r="E146" i="5"/>
  <c r="E147" i="5" a="1"/>
  <c r="E147" i="5" s="1"/>
  <c r="E148" i="5" a="1"/>
  <c r="E148" i="5"/>
  <c r="E149" i="5" a="1"/>
  <c r="E149" i="5"/>
  <c r="E150" i="5" a="1"/>
  <c r="E150" i="5" s="1"/>
  <c r="E151" i="5" a="1"/>
  <c r="E151" i="5"/>
  <c r="E152" i="5" a="1"/>
  <c r="E152" i="5"/>
  <c r="E153" i="5" a="1"/>
  <c r="E153" i="5" s="1"/>
  <c r="E154" i="5" a="1"/>
  <c r="E154" i="5"/>
  <c r="E155" i="5" a="1"/>
  <c r="E155" i="5"/>
  <c r="E156" i="5" a="1"/>
  <c r="E156" i="5" s="1"/>
  <c r="E157" i="5" a="1"/>
  <c r="E157" i="5"/>
  <c r="E158" i="5" a="1"/>
  <c r="E158" i="5" s="1"/>
  <c r="E159" i="5" a="1"/>
  <c r="E159" i="5"/>
  <c r="E160" i="5" a="1"/>
  <c r="E160" i="5"/>
  <c r="E161" i="5" a="1"/>
  <c r="E161" i="5" s="1"/>
  <c r="E162" i="5" a="1"/>
  <c r="E162" i="5" s="1"/>
  <c r="E163" i="5" a="1"/>
  <c r="E163" i="5"/>
  <c r="E164" i="5" a="1"/>
  <c r="E164" i="5"/>
  <c r="E165" i="5" a="1"/>
  <c r="E165" i="5" s="1"/>
  <c r="E166" i="5" a="1"/>
  <c r="E166" i="5" s="1"/>
  <c r="E167" i="5" a="1"/>
  <c r="E167" i="5" s="1"/>
  <c r="E168" i="5" a="1"/>
  <c r="E168" i="5"/>
  <c r="E169" i="5" a="1"/>
  <c r="E169" i="5" s="1"/>
  <c r="E170" i="5" a="1"/>
  <c r="E170" i="5" s="1"/>
  <c r="E171" i="5" a="1"/>
  <c r="E171" i="5" s="1"/>
  <c r="E172" i="5" a="1"/>
  <c r="E172" i="5"/>
  <c r="E173" i="5" a="1"/>
  <c r="E173" i="5"/>
  <c r="E174" i="5" a="1"/>
  <c r="E174" i="5" s="1"/>
  <c r="E175" i="5" a="1"/>
  <c r="E175" i="5"/>
  <c r="E176" i="5" a="1"/>
  <c r="E176" i="5" s="1"/>
  <c r="E177" i="5" a="1"/>
  <c r="E177" i="5" s="1"/>
  <c r="E178" i="5" a="1"/>
  <c r="E178" i="5" s="1"/>
  <c r="E179" i="5" a="1"/>
  <c r="E179" i="5" s="1"/>
  <c r="E180" i="5" a="1"/>
  <c r="E180" i="5" s="1"/>
  <c r="E181" i="5" a="1"/>
  <c r="E181" i="5"/>
  <c r="E182" i="5" a="1"/>
  <c r="E182" i="5" s="1"/>
  <c r="E183" i="5" a="1"/>
  <c r="E183" i="5" s="1"/>
  <c r="E184" i="5" a="1"/>
  <c r="E184" i="5"/>
  <c r="E185" i="5" a="1"/>
  <c r="E185" i="5" s="1"/>
  <c r="E186" i="5" a="1"/>
  <c r="E186" i="5"/>
  <c r="E187" i="5" a="1"/>
  <c r="E187" i="5" s="1"/>
  <c r="E188" i="5" a="1"/>
  <c r="E188" i="5" s="1"/>
  <c r="E189" i="5" a="1"/>
  <c r="E189" i="5" s="1"/>
  <c r="E190" i="5" a="1"/>
  <c r="E190" i="5" s="1"/>
  <c r="E191" i="5" a="1"/>
  <c r="E191" i="5" s="1"/>
  <c r="E192" i="5" a="1"/>
  <c r="E192" i="5" s="1"/>
  <c r="E193" i="5" a="1"/>
  <c r="E193" i="5" s="1"/>
  <c r="E194" i="5" a="1"/>
  <c r="E194" i="5"/>
  <c r="E195" i="5" a="1"/>
  <c r="E195" i="5"/>
  <c r="E196" i="5" a="1"/>
  <c r="E196" i="5" s="1"/>
  <c r="E197" i="5" a="1"/>
  <c r="E197" i="5" s="1"/>
  <c r="E198" i="5" a="1"/>
  <c r="E198" i="5" s="1"/>
  <c r="E199" i="5" a="1"/>
  <c r="E199" i="5"/>
  <c r="E200" i="5" a="1"/>
  <c r="E200" i="5" s="1"/>
  <c r="E201" i="5" a="1"/>
  <c r="E201" i="5" s="1"/>
  <c r="E202" i="5" a="1"/>
  <c r="E202" i="5" s="1"/>
  <c r="E203" i="5" a="1"/>
  <c r="E203" i="5"/>
  <c r="E204" i="5" a="1"/>
  <c r="E204" i="5"/>
  <c r="E205" i="5" a="1"/>
  <c r="E205" i="5" s="1"/>
  <c r="E206" i="5" a="1"/>
  <c r="E206" i="5" s="1"/>
  <c r="E207" i="5" a="1"/>
  <c r="E207" i="5"/>
  <c r="E208" i="5" a="1"/>
  <c r="E208" i="5"/>
  <c r="E209" i="5" a="1"/>
  <c r="E209" i="5" s="1"/>
  <c r="E210" i="5" a="1"/>
  <c r="E210" i="5"/>
  <c r="E211" i="5" a="1"/>
  <c r="E211" i="5" s="1"/>
  <c r="E212" i="5" a="1"/>
  <c r="E212" i="5"/>
  <c r="E213" i="5" a="1"/>
  <c r="E213" i="5"/>
  <c r="E214" i="5" a="1"/>
  <c r="E214" i="5" s="1"/>
  <c r="E215" i="5" a="1"/>
  <c r="E215" i="5"/>
  <c r="E216" i="5" a="1"/>
  <c r="E216" i="5"/>
  <c r="E217" i="5" a="1"/>
  <c r="E217" i="5" s="1"/>
  <c r="E218" i="5" a="1"/>
  <c r="E218" i="5"/>
  <c r="E219" i="5" a="1"/>
  <c r="E219" i="5"/>
  <c r="E220" i="5" a="1"/>
  <c r="E220" i="5" s="1"/>
  <c r="E221" i="5" a="1"/>
  <c r="E221" i="5"/>
  <c r="E222" i="5" a="1"/>
  <c r="E222" i="5" s="1"/>
  <c r="E223" i="5" a="1"/>
  <c r="E223" i="5"/>
  <c r="E224" i="5" a="1"/>
  <c r="E224" i="5"/>
  <c r="E225" i="5" a="1"/>
  <c r="E225" i="5" s="1"/>
  <c r="E226" i="5" a="1"/>
  <c r="E226" i="5" s="1"/>
  <c r="E227" i="5" a="1"/>
  <c r="E227" i="5"/>
  <c r="E228" i="5" a="1"/>
  <c r="E228" i="5"/>
  <c r="E229" i="5" a="1"/>
  <c r="E229" i="5" s="1"/>
  <c r="E230" i="5" a="1"/>
  <c r="E230" i="5" s="1"/>
  <c r="E231" i="5" a="1"/>
  <c r="E231" i="5" s="1"/>
  <c r="E232" i="5" a="1"/>
  <c r="E232" i="5"/>
  <c r="E233" i="5" a="1"/>
  <c r="E233" i="5" s="1"/>
  <c r="E234" i="5" a="1"/>
  <c r="E234" i="5" s="1"/>
  <c r="E235" i="5" a="1"/>
  <c r="E235" i="5" s="1"/>
  <c r="E236" i="5" a="1"/>
  <c r="E236" i="5" s="1"/>
  <c r="E237" i="5" a="1"/>
  <c r="E237" i="5"/>
  <c r="E238" i="5" a="1"/>
  <c r="E238" i="5" s="1"/>
  <c r="E239" i="5" a="1"/>
  <c r="E239" i="5"/>
  <c r="E240" i="5" a="1"/>
  <c r="E240" i="5" s="1"/>
  <c r="E241" i="5" a="1"/>
  <c r="E241" i="5" s="1"/>
  <c r="E242" i="5" a="1"/>
  <c r="E242" i="5" s="1"/>
  <c r="E243" i="5" a="1"/>
  <c r="E243" i="5" s="1"/>
  <c r="E244" i="5" a="1"/>
  <c r="E244" i="5" s="1"/>
  <c r="E245" i="5" a="1"/>
  <c r="E245" i="5" s="1"/>
  <c r="E246" i="5" a="1"/>
  <c r="E246" i="5" s="1"/>
  <c r="E247" i="5" a="1"/>
  <c r="E247" i="5" s="1"/>
  <c r="E248" i="5" a="1"/>
  <c r="E248" i="5"/>
  <c r="E249" i="5" a="1"/>
  <c r="E249" i="5" s="1"/>
  <c r="E250" i="5" a="1"/>
  <c r="E250" i="5"/>
  <c r="E251" i="5" a="1"/>
  <c r="E251" i="5" s="1"/>
  <c r="E252" i="5" a="1"/>
  <c r="E252" i="5" s="1"/>
  <c r="E253" i="5" a="1"/>
  <c r="E253" i="5" s="1"/>
  <c r="E254" i="5" a="1"/>
  <c r="E254" i="5" s="1"/>
  <c r="E255" i="5" a="1"/>
  <c r="E255" i="5" s="1"/>
  <c r="E256" i="5" a="1"/>
  <c r="E256" i="5" s="1"/>
  <c r="E257" i="5" a="1"/>
  <c r="E257" i="5" s="1"/>
  <c r="E258" i="5" a="1"/>
  <c r="E258" i="5"/>
  <c r="E259" i="5" a="1"/>
  <c r="E259" i="5"/>
  <c r="E260" i="5" a="1"/>
  <c r="E260" i="5" s="1"/>
  <c r="E261" i="5" a="1"/>
  <c r="E261" i="5" s="1"/>
  <c r="E262" i="5" a="1"/>
  <c r="E262" i="5" s="1"/>
  <c r="E263" i="5" a="1"/>
  <c r="E263" i="5"/>
  <c r="E264" i="5" a="1"/>
  <c r="E264" i="5" s="1"/>
  <c r="E265" i="5" a="1"/>
  <c r="E265" i="5" s="1"/>
  <c r="E266" i="5" a="1"/>
  <c r="E266" i="5" s="1"/>
  <c r="E267" i="5" a="1"/>
  <c r="E267" i="5"/>
  <c r="E268" i="5" a="1"/>
  <c r="E268" i="5"/>
  <c r="E269" i="5" a="1"/>
  <c r="E269" i="5" s="1"/>
  <c r="E270" i="5" a="1"/>
  <c r="E270" i="5" s="1"/>
  <c r="E271" i="5" a="1"/>
  <c r="E271" i="5"/>
  <c r="E272" i="5" a="1"/>
  <c r="E272" i="5"/>
  <c r="E273" i="5" a="1"/>
  <c r="E273" i="5" s="1"/>
  <c r="E274" i="5" a="1"/>
  <c r="E274" i="5"/>
  <c r="E275" i="5" a="1"/>
  <c r="E275" i="5" s="1"/>
  <c r="E276" i="5" a="1"/>
  <c r="E276" i="5"/>
  <c r="E277" i="5" a="1"/>
  <c r="E277" i="5"/>
  <c r="E278" i="5" a="1"/>
  <c r="E278" i="5" s="1"/>
  <c r="E279" i="5" a="1"/>
  <c r="E279" i="5"/>
  <c r="E280" i="5" a="1"/>
  <c r="E280" i="5"/>
  <c r="E281" i="5" a="1"/>
  <c r="E281" i="5" s="1"/>
  <c r="E282" i="5" a="1"/>
  <c r="E282" i="5" s="1"/>
  <c r="E283" i="5" a="1"/>
  <c r="E283" i="5"/>
  <c r="E284" i="5" a="1"/>
  <c r="E284" i="5" s="1"/>
  <c r="E285" i="5" a="1"/>
  <c r="E285" i="5"/>
  <c r="E286" i="5" a="1"/>
  <c r="E286" i="5" s="1"/>
  <c r="E287" i="5" a="1"/>
  <c r="E287" i="5"/>
  <c r="E288" i="5" a="1"/>
  <c r="E288" i="5"/>
  <c r="E289" i="5" a="1"/>
  <c r="E289" i="5" s="1"/>
  <c r="E290" i="5" a="1"/>
  <c r="E290" i="5" s="1"/>
  <c r="E291" i="5" a="1"/>
  <c r="E291" i="5" s="1"/>
  <c r="E292" i="5" a="1"/>
  <c r="E292" i="5"/>
  <c r="E293" i="5" a="1"/>
  <c r="E293" i="5" s="1"/>
  <c r="E294" i="5" a="1"/>
  <c r="E294" i="5" s="1"/>
  <c r="E295" i="5" a="1"/>
  <c r="E295" i="5" s="1"/>
  <c r="E296" i="5" a="1"/>
  <c r="E296" i="5"/>
  <c r="E297" i="5" a="1"/>
  <c r="E297" i="5" s="1"/>
  <c r="E298" i="5" a="1"/>
  <c r="E298" i="5" s="1"/>
  <c r="E299" i="5" a="1"/>
  <c r="E299" i="5" s="1"/>
  <c r="E300" i="5" a="1"/>
  <c r="E300" i="5" s="1"/>
  <c r="E301" i="5" a="1"/>
  <c r="E301" i="5"/>
  <c r="E302" i="5" a="1"/>
  <c r="E302" i="5" s="1"/>
  <c r="E303" i="5" a="1"/>
  <c r="E303" i="5"/>
  <c r="E304" i="5" a="1"/>
  <c r="E304" i="5" s="1"/>
  <c r="E305" i="5" a="1"/>
  <c r="E305" i="5" s="1"/>
  <c r="E306" i="5" a="1"/>
  <c r="E306" i="5" s="1"/>
  <c r="E307" i="5" a="1"/>
  <c r="E307" i="5" s="1"/>
  <c r="E308" i="5" a="1"/>
  <c r="E308" i="5" s="1"/>
  <c r="E309" i="5" a="1"/>
  <c r="E309" i="5" s="1"/>
  <c r="E310" i="5" a="1"/>
  <c r="E310" i="5" s="1"/>
  <c r="E311" i="5" a="1"/>
  <c r="E311" i="5" s="1"/>
  <c r="E312" i="5" a="1"/>
  <c r="E312" i="5"/>
  <c r="E313" i="5" a="1"/>
  <c r="E313" i="5" s="1"/>
  <c r="E314" i="5" a="1"/>
  <c r="E314" i="5"/>
  <c r="E315" i="5" a="1"/>
  <c r="E315" i="5" s="1"/>
  <c r="E316" i="5" a="1"/>
  <c r="E316" i="5" s="1"/>
  <c r="E317" i="5" a="1"/>
  <c r="E317" i="5" s="1"/>
  <c r="E318" i="5" a="1"/>
  <c r="E318" i="5" s="1"/>
  <c r="E319" i="5" a="1"/>
  <c r="E319" i="5" s="1"/>
  <c r="E320" i="5" a="1"/>
  <c r="E320" i="5" s="1"/>
  <c r="E321" i="5" a="1"/>
  <c r="E321" i="5" s="1"/>
  <c r="E322" i="5" a="1"/>
  <c r="E322" i="5"/>
  <c r="E323" i="5" a="1"/>
  <c r="E323" i="5"/>
  <c r="E324" i="5" a="1"/>
  <c r="E324" i="5" s="1"/>
  <c r="E325" i="5" a="1"/>
  <c r="E325" i="5" s="1"/>
  <c r="E326" i="5" a="1"/>
  <c r="E326" i="5" s="1"/>
  <c r="E327" i="5" a="1"/>
  <c r="E327" i="5"/>
  <c r="E328" i="5" a="1"/>
  <c r="E328" i="5" s="1"/>
  <c r="E329" i="5" a="1"/>
  <c r="E329" i="5" s="1"/>
  <c r="E330" i="5" a="1"/>
  <c r="E330" i="5" s="1"/>
  <c r="E331" i="5" a="1"/>
  <c r="E331" i="5"/>
  <c r="E332" i="5" a="1"/>
  <c r="E332" i="5"/>
  <c r="E333" i="5" a="1"/>
  <c r="E333" i="5" s="1"/>
  <c r="E334" i="5" a="1"/>
  <c r="E334" i="5" s="1"/>
  <c r="E335" i="5" a="1"/>
  <c r="E335" i="5"/>
  <c r="E336" i="5" a="1"/>
  <c r="E336" i="5"/>
  <c r="E337" i="5" a="1"/>
  <c r="E337" i="5" s="1"/>
  <c r="E338" i="5" a="1"/>
  <c r="E338" i="5"/>
  <c r="E339" i="5" a="1"/>
  <c r="E339" i="5" s="1"/>
  <c r="E340" i="5" a="1"/>
  <c r="E340" i="5"/>
  <c r="E341" i="5" a="1"/>
  <c r="E341" i="5" s="1"/>
  <c r="E342" i="5" a="1"/>
  <c r="E342" i="5" s="1"/>
  <c r="E343" i="5" a="1"/>
  <c r="E343" i="5"/>
  <c r="E344" i="5" a="1"/>
  <c r="E344" i="5"/>
  <c r="E345" i="5" a="1"/>
  <c r="E345" i="5" s="1"/>
  <c r="E346" i="5" a="1"/>
  <c r="E346" i="5" s="1"/>
  <c r="E347" i="5" a="1"/>
  <c r="E347" i="5"/>
  <c r="E348" i="5" a="1"/>
  <c r="E348" i="5" s="1"/>
  <c r="E349" i="5" a="1"/>
  <c r="E349" i="5"/>
  <c r="E350" i="5" a="1"/>
  <c r="E350" i="5" s="1"/>
  <c r="E351" i="5" a="1"/>
  <c r="E351" i="5"/>
  <c r="E352" i="5" a="1"/>
  <c r="E352" i="5"/>
  <c r="E353" i="5" a="1"/>
  <c r="E353" i="5" s="1"/>
  <c r="E354" i="5" a="1"/>
  <c r="E354" i="5" s="1"/>
  <c r="E355" i="5" a="1"/>
  <c r="E355" i="5" s="1"/>
  <c r="E356" i="5" a="1"/>
  <c r="E356" i="5"/>
  <c r="E357" i="5" a="1"/>
  <c r="E357" i="5" s="1"/>
  <c r="E358" i="5" a="1"/>
  <c r="E358" i="5" s="1"/>
  <c r="E359" i="5" a="1"/>
  <c r="E359" i="5" s="1"/>
  <c r="E360" i="5" a="1"/>
  <c r="E360" i="5"/>
  <c r="E361" i="5" a="1"/>
  <c r="E361" i="5" s="1"/>
  <c r="E362" i="5" a="1"/>
  <c r="E362" i="5" s="1"/>
  <c r="E363" i="5" a="1"/>
  <c r="E363" i="5" s="1"/>
  <c r="E364" i="5" a="1"/>
  <c r="E364" i="5" s="1"/>
  <c r="E365" i="5" a="1"/>
  <c r="E365" i="5"/>
  <c r="E366" i="5" a="1"/>
  <c r="E366" i="5" s="1"/>
  <c r="E367" i="5" a="1"/>
  <c r="E367" i="5"/>
  <c r="E368" i="5" a="1"/>
  <c r="E368" i="5" s="1"/>
  <c r="E369" i="5" a="1"/>
  <c r="E369" i="5" s="1"/>
  <c r="E370" i="5" a="1"/>
  <c r="E370" i="5" s="1"/>
  <c r="E371" i="5" a="1"/>
  <c r="E371" i="5" s="1"/>
  <c r="E372" i="5" a="1"/>
  <c r="E372" i="5" s="1"/>
  <c r="E373" i="5" a="1"/>
  <c r="E373" i="5" s="1"/>
  <c r="E374" i="5" a="1"/>
  <c r="E374" i="5" s="1"/>
  <c r="E375" i="5" a="1"/>
  <c r="E375" i="5" s="1"/>
  <c r="E376" i="5" a="1"/>
  <c r="E376" i="5"/>
  <c r="E377" i="5" a="1"/>
  <c r="E377" i="5" s="1"/>
  <c r="E378" i="5" a="1"/>
  <c r="E378" i="5"/>
  <c r="E379" i="5" a="1"/>
  <c r="E379" i="5" s="1"/>
  <c r="E380" i="5" a="1"/>
  <c r="E380" i="5" s="1"/>
  <c r="E381" i="5" a="1"/>
  <c r="E381" i="5" s="1"/>
  <c r="E382" i="5" a="1"/>
  <c r="E382" i="5" s="1"/>
  <c r="E383" i="5" a="1"/>
  <c r="E383" i="5" s="1"/>
  <c r="E384" i="5" a="1"/>
  <c r="E384" i="5" s="1"/>
  <c r="E385" i="5" a="1"/>
  <c r="E385" i="5" s="1"/>
  <c r="E386" i="5" a="1"/>
  <c r="E386" i="5"/>
  <c r="E387" i="5" a="1"/>
  <c r="E387" i="5" s="1"/>
  <c r="E388" i="5" a="1"/>
  <c r="E388" i="5" s="1"/>
  <c r="E389" i="5" a="1"/>
  <c r="E389" i="5" s="1"/>
  <c r="E390" i="5" a="1"/>
  <c r="E390" i="5" s="1"/>
  <c r="E391" i="5" a="1"/>
  <c r="E391" i="5"/>
  <c r="E392" i="5" a="1"/>
  <c r="E392" i="5" s="1"/>
  <c r="E393" i="5" a="1"/>
  <c r="E393" i="5" s="1"/>
  <c r="E394" i="5" a="1"/>
  <c r="E394" i="5" s="1"/>
  <c r="E395" i="5" a="1"/>
  <c r="E395" i="5"/>
  <c r="E396" i="5" a="1"/>
  <c r="E396" i="5" s="1"/>
  <c r="E397" i="5" a="1"/>
  <c r="E397" i="5" s="1"/>
  <c r="E398" i="5" a="1"/>
  <c r="E398" i="5" s="1"/>
  <c r="E399" i="5" a="1"/>
  <c r="E399" i="5"/>
  <c r="E400" i="5" a="1"/>
  <c r="E400" i="5"/>
  <c r="E401" i="5" a="1"/>
  <c r="E401" i="5" s="1"/>
  <c r="E402" i="5" a="1"/>
  <c r="E402" i="5"/>
  <c r="E403" i="5" a="1"/>
  <c r="E403" i="5" s="1"/>
  <c r="E404" i="5" a="1"/>
  <c r="E404" i="5"/>
  <c r="E405" i="5" a="1"/>
  <c r="E405" i="5" s="1"/>
  <c r="E406" i="5" a="1"/>
  <c r="E406" i="5" s="1"/>
  <c r="E407" i="5" a="1"/>
  <c r="E407" i="5"/>
  <c r="E408" i="5" a="1"/>
  <c r="E408" i="5"/>
  <c r="E409" i="5" a="1"/>
  <c r="E409" i="5" s="1"/>
  <c r="E410" i="5" a="1"/>
  <c r="E410" i="5" s="1"/>
  <c r="E411" i="5" a="1"/>
  <c r="E411" i="5"/>
  <c r="E412" i="5" a="1"/>
  <c r="E412" i="5" s="1"/>
  <c r="E413" i="5" a="1"/>
  <c r="E413" i="5"/>
  <c r="E414" i="5" a="1"/>
  <c r="E414" i="5" s="1"/>
  <c r="E415" i="5" a="1"/>
  <c r="E415" i="5"/>
  <c r="E416" i="5" a="1"/>
  <c r="E416" i="5"/>
  <c r="E417" i="5" a="1"/>
  <c r="E417" i="5" s="1"/>
  <c r="E418" i="5" a="1"/>
  <c r="E418" i="5" s="1"/>
  <c r="E419" i="5" a="1"/>
  <c r="E419" i="5" s="1"/>
  <c r="E420" i="5" a="1"/>
  <c r="E420" i="5"/>
  <c r="E421" i="5" a="1"/>
  <c r="E421" i="5" s="1"/>
  <c r="E422" i="5" a="1"/>
  <c r="E422" i="5" s="1"/>
  <c r="E423" i="5" a="1"/>
  <c r="E423" i="5" s="1"/>
  <c r="E424" i="5" a="1"/>
  <c r="E424" i="5"/>
  <c r="E425" i="5" a="1"/>
  <c r="E425" i="5"/>
  <c r="E426" i="5" a="1"/>
  <c r="E426" i="5"/>
  <c r="E427" i="5" a="1"/>
  <c r="E427" i="5"/>
  <c r="E428" i="5" a="1"/>
  <c r="E428" i="5" s="1"/>
  <c r="E429" i="5" a="1"/>
  <c r="E429" i="5" s="1"/>
  <c r="E430" i="5" a="1"/>
  <c r="E430" i="5" s="1"/>
  <c r="E431" i="5" a="1"/>
  <c r="E431" i="5"/>
  <c r="E432" i="5" a="1"/>
  <c r="E432" i="5" s="1"/>
  <c r="E433" i="5" a="1"/>
  <c r="E433" i="5" s="1"/>
  <c r="E434" i="5" a="1"/>
  <c r="E434" i="5" s="1"/>
  <c r="E435" i="5" a="1"/>
  <c r="E435" i="5" s="1"/>
  <c r="E436" i="5" a="1"/>
  <c r="E436" i="5" s="1"/>
  <c r="E437" i="5" a="1"/>
  <c r="E437" i="5"/>
  <c r="E438" i="5" a="1"/>
  <c r="E438" i="5" s="1"/>
  <c r="E439" i="5" a="1"/>
  <c r="E439" i="5"/>
  <c r="E440" i="5" a="1"/>
  <c r="E440" i="5" s="1"/>
  <c r="E441" i="5" a="1"/>
  <c r="E441" i="5"/>
  <c r="E442" i="5" a="1"/>
  <c r="E442" i="5"/>
  <c r="E443" i="5" a="1"/>
  <c r="E443" i="5"/>
  <c r="E444" i="5" a="1"/>
  <c r="E444" i="5"/>
  <c r="E445" i="5" a="1"/>
  <c r="E445" i="5" s="1"/>
  <c r="E446" i="5" a="1"/>
  <c r="E446" i="5" s="1"/>
  <c r="E447" i="5" a="1"/>
  <c r="E447" i="5" s="1"/>
  <c r="E448" i="5" a="1"/>
  <c r="E448" i="5"/>
  <c r="E449" i="5" a="1"/>
  <c r="E449" i="5" s="1"/>
  <c r="E450" i="5" a="1"/>
  <c r="E450" i="5" s="1"/>
  <c r="E451" i="5" a="1"/>
  <c r="E451" i="5" s="1"/>
  <c r="E452" i="5" a="1"/>
  <c r="E452" i="5" s="1"/>
  <c r="E453" i="5" a="1"/>
  <c r="E453" i="5" s="1"/>
  <c r="E454" i="5" a="1"/>
  <c r="E454" i="5" s="1"/>
  <c r="E455" i="5" a="1"/>
  <c r="E455" i="5" s="1"/>
  <c r="E456" i="5" a="1"/>
  <c r="E456" i="5"/>
  <c r="E457" i="5" a="1"/>
  <c r="E457" i="5" s="1"/>
  <c r="E458" i="5" a="1"/>
  <c r="E458" i="5"/>
  <c r="E459" i="5" a="1"/>
  <c r="E459" i="5"/>
  <c r="E460" i="5" a="1"/>
  <c r="E460" i="5"/>
  <c r="E461" i="5" a="1"/>
  <c r="E461" i="5"/>
  <c r="E462" i="5" a="1"/>
  <c r="E462" i="5" s="1"/>
  <c r="E463" i="5" a="1"/>
  <c r="E463" i="5"/>
  <c r="E464" i="5" a="1"/>
  <c r="E464" i="5" s="1"/>
  <c r="E465" i="5" a="1"/>
  <c r="E465" i="5"/>
  <c r="E466" i="5" a="1"/>
  <c r="E466" i="5" s="1"/>
  <c r="E467" i="5" a="1"/>
  <c r="E467" i="5" s="1"/>
  <c r="E468" i="5" a="1"/>
  <c r="E468" i="5" s="1"/>
  <c r="E469" i="5" a="1"/>
  <c r="E469" i="5" s="1"/>
  <c r="E470" i="5" a="1"/>
  <c r="E470" i="5" s="1"/>
  <c r="E471" i="5" a="1"/>
  <c r="E471" i="5" s="1"/>
  <c r="E472" i="5" a="1"/>
  <c r="E472" i="5" s="1"/>
  <c r="E473" i="5" a="1"/>
  <c r="E473" i="5"/>
  <c r="E474" i="5" a="1"/>
  <c r="E474" i="5" s="1"/>
  <c r="E475" i="5" a="1"/>
  <c r="E475" i="5"/>
  <c r="E476" i="5" a="1"/>
  <c r="E476" i="5"/>
  <c r="E477" i="5" a="1"/>
  <c r="E477" i="5"/>
  <c r="E478" i="5" a="1"/>
  <c r="E478" i="5" s="1"/>
  <c r="E479" i="5" a="1"/>
  <c r="E479" i="5" s="1"/>
  <c r="E480" i="5" a="1"/>
  <c r="E480" i="5"/>
  <c r="E481" i="5" a="1"/>
  <c r="E481" i="5" s="1"/>
  <c r="E482" i="5" a="1"/>
  <c r="E482" i="5"/>
  <c r="E483" i="5" a="1"/>
  <c r="E483" i="5" s="1"/>
  <c r="E484" i="5" a="1"/>
  <c r="E484" i="5" s="1"/>
  <c r="E485" i="5" a="1"/>
  <c r="E485" i="5" s="1"/>
  <c r="E486" i="5" a="1"/>
  <c r="E486" i="5" s="1"/>
  <c r="E487" i="5" a="1"/>
  <c r="E487" i="5"/>
  <c r="E488" i="5" a="1"/>
  <c r="E488" i="5" s="1"/>
  <c r="E489" i="5" a="1"/>
  <c r="E489" i="5" s="1"/>
  <c r="E490" i="5" a="1"/>
  <c r="E490" i="5"/>
  <c r="E491" i="5" a="1"/>
  <c r="E491" i="5" s="1"/>
  <c r="E492" i="5" a="1"/>
  <c r="E492" i="5"/>
  <c r="E493" i="5" a="1"/>
  <c r="E493" i="5"/>
  <c r="E494" i="5" a="1"/>
  <c r="E494" i="5" s="1"/>
  <c r="E495" i="5" a="1"/>
  <c r="E495" i="5" s="1"/>
  <c r="E496" i="5" a="1"/>
  <c r="E496" i="5" s="1"/>
  <c r="E497" i="5" a="1"/>
  <c r="E497" i="5"/>
  <c r="E498" i="5" a="1"/>
  <c r="E498" i="5" s="1"/>
  <c r="E499" i="5" a="1"/>
  <c r="E499" i="5"/>
  <c r="E500" i="5" a="1"/>
  <c r="E500" i="5" s="1"/>
  <c r="E501" i="5" a="1"/>
  <c r="E501" i="5" s="1"/>
  <c r="E502" i="5" a="1"/>
  <c r="E502" i="5" s="1"/>
  <c r="E503" i="5" a="1"/>
  <c r="E503" i="5"/>
  <c r="E504" i="5" a="1"/>
  <c r="E504" i="5"/>
  <c r="E505" i="5" a="1"/>
  <c r="E505" i="5" s="1"/>
  <c r="E506" i="5" a="1"/>
  <c r="E506" i="5" s="1"/>
  <c r="E507" i="5" a="1"/>
  <c r="E507" i="5"/>
  <c r="E508" i="5" a="1"/>
  <c r="E508" i="5" s="1"/>
  <c r="E509" i="5" a="1"/>
  <c r="E509" i="5"/>
  <c r="E510" i="5" a="1"/>
  <c r="E510" i="5" s="1"/>
  <c r="E511" i="5" a="1"/>
  <c r="E511" i="5" s="1"/>
  <c r="E512" i="5" a="1"/>
  <c r="E512" i="5" s="1"/>
  <c r="E513" i="5" a="1"/>
  <c r="E513" i="5" s="1"/>
  <c r="E514" i="5" a="1"/>
  <c r="E514" i="5"/>
  <c r="E515" i="5" a="1"/>
  <c r="E515" i="5" s="1"/>
  <c r="E516" i="5" a="1"/>
  <c r="E516" i="5"/>
  <c r="E517" i="5" a="1"/>
  <c r="E517" i="5" s="1"/>
  <c r="E518" i="5" a="1"/>
  <c r="E518" i="5" s="1"/>
  <c r="E519" i="5" a="1"/>
  <c r="E519" i="5"/>
  <c r="E520" i="5" a="1"/>
  <c r="E520" i="5"/>
  <c r="E521" i="5" a="1"/>
  <c r="E521" i="5"/>
  <c r="E522" i="5" a="1"/>
  <c r="E522" i="5" s="1"/>
  <c r="E523" i="5" a="1"/>
  <c r="E523" i="5" s="1"/>
  <c r="E524" i="5" a="1"/>
  <c r="E524" i="5"/>
  <c r="E525" i="5" a="1"/>
  <c r="E525" i="5" s="1"/>
  <c r="E526" i="5" a="1"/>
  <c r="E526" i="5" s="1"/>
  <c r="E527" i="5" a="1"/>
  <c r="E527" i="5" s="1"/>
  <c r="E528" i="5" a="1"/>
  <c r="E528" i="5" s="1"/>
  <c r="E529" i="5" a="1"/>
  <c r="E529" i="5" s="1"/>
  <c r="E530" i="5" a="1"/>
  <c r="E530" i="5" s="1"/>
  <c r="E531" i="5" a="1"/>
  <c r="E531" i="5"/>
  <c r="E532" i="5" a="1"/>
  <c r="E532" i="5" s="1"/>
  <c r="E533" i="5" a="1"/>
  <c r="E533" i="5"/>
  <c r="E534" i="5" a="1"/>
  <c r="E534" i="5" s="1"/>
  <c r="E535" i="5" a="1"/>
  <c r="E535" i="5"/>
  <c r="E536" i="5" a="1"/>
  <c r="E536" i="5"/>
  <c r="E537" i="5" a="1"/>
  <c r="E537" i="5"/>
  <c r="E538" i="5" a="1"/>
  <c r="E538" i="5"/>
  <c r="E539" i="5" a="1"/>
  <c r="E539" i="5" s="1"/>
  <c r="E540" i="5" a="1"/>
  <c r="E540" i="5" s="1"/>
  <c r="E541" i="5" a="1"/>
  <c r="E541" i="5"/>
  <c r="E542" i="5" a="1"/>
  <c r="E542" i="5" s="1"/>
  <c r="E543" i="5" a="1"/>
  <c r="E543" i="5" s="1"/>
  <c r="E544" i="5" a="1"/>
  <c r="E544" i="5" s="1"/>
  <c r="E545" i="5" a="1"/>
  <c r="E545" i="5" s="1"/>
  <c r="E546" i="5" a="1"/>
  <c r="E546" i="5" s="1"/>
  <c r="E547" i="5" a="1"/>
  <c r="E547" i="5" s="1"/>
  <c r="E548" i="5" a="1"/>
  <c r="E548" i="5"/>
  <c r="E549" i="5" a="1"/>
  <c r="E549" i="5" s="1"/>
  <c r="E550" i="5" a="1"/>
  <c r="E550" i="5" s="1"/>
  <c r="E551" i="5" a="1"/>
  <c r="E551" i="5" s="1"/>
  <c r="E552" i="5" a="1"/>
  <c r="E552" i="5"/>
  <c r="E553" i="5" a="1"/>
  <c r="E553" i="5"/>
  <c r="E554" i="5" a="1"/>
  <c r="E554" i="5"/>
  <c r="E555" i="5" a="1"/>
  <c r="E555" i="5"/>
  <c r="E556" i="5" a="1"/>
  <c r="E556" i="5" s="1"/>
  <c r="E557" i="5" a="1"/>
  <c r="E557" i="5" s="1"/>
  <c r="E558" i="5" a="1"/>
  <c r="E558" i="5" s="1"/>
  <c r="E559" i="5" a="1"/>
  <c r="E559" i="5"/>
  <c r="E560" i="5" a="1"/>
  <c r="E560" i="5" s="1"/>
  <c r="E561" i="5" a="1"/>
  <c r="E561" i="5" s="1"/>
  <c r="E562" i="5" a="1"/>
  <c r="E562" i="5" s="1"/>
  <c r="E563" i="5" a="1"/>
  <c r="E563" i="5" s="1"/>
  <c r="E564" i="5" a="1"/>
  <c r="E564" i="5" s="1"/>
  <c r="E565" i="5" a="1"/>
  <c r="E565" i="5"/>
  <c r="E566" i="5" a="1"/>
  <c r="E566" i="5" s="1"/>
  <c r="E567" i="5" a="1"/>
  <c r="E567" i="5"/>
  <c r="E568" i="5" a="1"/>
  <c r="E568" i="5" s="1"/>
  <c r="E569" i="5" a="1"/>
  <c r="E569" i="5"/>
  <c r="E570" i="5" a="1"/>
  <c r="E570" i="5"/>
  <c r="E571" i="5" a="1"/>
  <c r="E571" i="5"/>
  <c r="E572" i="5" a="1"/>
  <c r="E572" i="5"/>
  <c r="E573" i="5" a="1"/>
  <c r="E573" i="5" s="1"/>
  <c r="E574" i="5" a="1"/>
  <c r="E574" i="5" s="1"/>
  <c r="E575" i="5" a="1"/>
  <c r="E575" i="5" s="1"/>
  <c r="E576" i="5" a="1"/>
  <c r="E576" i="5"/>
  <c r="E577" i="5" a="1"/>
  <c r="E577" i="5" s="1"/>
  <c r="E578" i="5" a="1"/>
  <c r="E578" i="5" s="1"/>
  <c r="E579" i="5" a="1"/>
  <c r="E579" i="5" s="1"/>
  <c r="E580" i="5" a="1"/>
  <c r="E580" i="5" s="1"/>
  <c r="E581" i="5" a="1"/>
  <c r="E581" i="5" s="1"/>
  <c r="E582" i="5" a="1"/>
  <c r="E582" i="5" s="1"/>
  <c r="E583" i="5" a="1"/>
  <c r="E583" i="5" s="1"/>
  <c r="E584" i="5" a="1"/>
  <c r="E584" i="5"/>
  <c r="E585" i="5" a="1"/>
  <c r="E585" i="5" s="1"/>
  <c r="E586" i="5" a="1"/>
  <c r="E586" i="5"/>
  <c r="E587" i="5" a="1"/>
  <c r="E587" i="5"/>
  <c r="E588" i="5" a="1"/>
  <c r="E588" i="5"/>
  <c r="E589" i="5" a="1"/>
  <c r="E589" i="5"/>
  <c r="E590" i="5" a="1"/>
  <c r="E590" i="5" s="1"/>
  <c r="E591" i="5" a="1"/>
  <c r="E591" i="5"/>
  <c r="E592" i="5" a="1"/>
  <c r="E592" i="5" s="1"/>
  <c r="E593" i="5" a="1"/>
  <c r="E593" i="5"/>
  <c r="E594" i="5" a="1"/>
  <c r="E594" i="5" s="1"/>
  <c r="E595" i="5" a="1"/>
  <c r="E595" i="5" s="1"/>
  <c r="E596" i="5" a="1"/>
  <c r="E596" i="5" s="1"/>
  <c r="E597" i="5" a="1"/>
  <c r="E597" i="5" s="1"/>
  <c r="E598" i="5" a="1"/>
  <c r="E598" i="5" s="1"/>
  <c r="E599" i="5" a="1"/>
  <c r="E599" i="5" s="1"/>
  <c r="E600" i="5" a="1"/>
  <c r="E600" i="5" s="1"/>
  <c r="E601" i="5" a="1"/>
  <c r="E601" i="5"/>
  <c r="E602" i="5" a="1"/>
  <c r="E602" i="5" s="1"/>
  <c r="E603" i="5" a="1"/>
  <c r="E603" i="5"/>
  <c r="E604" i="5" a="1"/>
  <c r="E604" i="5"/>
  <c r="E605" i="5" a="1"/>
  <c r="E605" i="5"/>
  <c r="E606" i="5" a="1"/>
  <c r="E606" i="5" s="1"/>
  <c r="E607" i="5" a="1"/>
  <c r="E607" i="5" s="1"/>
  <c r="E608" i="5" a="1"/>
  <c r="E608" i="5"/>
  <c r="E609" i="5" a="1"/>
  <c r="E609" i="5" s="1"/>
  <c r="E610" i="5" a="1"/>
  <c r="E610" i="5"/>
  <c r="E611" i="5" a="1"/>
  <c r="E611" i="5" s="1"/>
  <c r="E612" i="5" a="1"/>
  <c r="E612" i="5" s="1"/>
  <c r="E613" i="5" a="1"/>
  <c r="E613" i="5" s="1"/>
  <c r="E614" i="5" a="1"/>
  <c r="E614" i="5" s="1"/>
  <c r="E615" i="5" a="1"/>
  <c r="E615" i="5"/>
  <c r="E616" i="5" a="1"/>
  <c r="E616" i="5" s="1"/>
  <c r="E617" i="5" a="1"/>
  <c r="E617" i="5" s="1"/>
  <c r="E618" i="5" a="1"/>
  <c r="E618" i="5"/>
  <c r="E619" i="5" a="1"/>
  <c r="E619" i="5" s="1"/>
  <c r="E620" i="5" a="1"/>
  <c r="E620" i="5"/>
  <c r="E621" i="5" a="1"/>
  <c r="E621" i="5"/>
  <c r="E622" i="5" a="1"/>
  <c r="E622" i="5" s="1"/>
  <c r="E623" i="5" a="1"/>
  <c r="E623" i="5" s="1"/>
  <c r="E624" i="5" a="1"/>
  <c r="E624" i="5" s="1"/>
  <c r="E625" i="5" a="1"/>
  <c r="E625" i="5"/>
  <c r="E626" i="5" a="1"/>
  <c r="E626" i="5" s="1"/>
  <c r="E627" i="5" a="1"/>
  <c r="E627" i="5"/>
  <c r="E628" i="5" a="1"/>
  <c r="E628" i="5" s="1"/>
  <c r="E629" i="5" a="1"/>
  <c r="E629" i="5" s="1"/>
  <c r="E630" i="5" a="1"/>
  <c r="E630" i="5" s="1"/>
  <c r="E631" i="5" a="1"/>
  <c r="E631" i="5"/>
  <c r="E632" i="5" a="1"/>
  <c r="E632" i="5"/>
  <c r="E633" i="5" a="1"/>
  <c r="E633" i="5" s="1"/>
  <c r="E634" i="5" a="1"/>
  <c r="E634" i="5" s="1"/>
  <c r="E635" i="5" a="1"/>
  <c r="E635" i="5"/>
  <c r="E636" i="5" a="1"/>
  <c r="E636" i="5" s="1"/>
  <c r="E637" i="5" a="1"/>
  <c r="E637" i="5"/>
  <c r="E638" i="5" a="1"/>
  <c r="E638" i="5" s="1"/>
  <c r="E639" i="5" a="1"/>
  <c r="E639" i="5" s="1"/>
  <c r="E640" i="5" a="1"/>
  <c r="E640" i="5" s="1"/>
  <c r="E641" i="5" a="1"/>
  <c r="E641" i="5" s="1"/>
  <c r="E642" i="5" a="1"/>
  <c r="E642" i="5"/>
  <c r="E643" i="5" a="1"/>
  <c r="E643" i="5" s="1"/>
  <c r="E644" i="5" a="1"/>
  <c r="E644" i="5"/>
  <c r="E645" i="5" a="1"/>
  <c r="E645" i="5" s="1"/>
  <c r="E646" i="5" a="1"/>
  <c r="E646" i="5" s="1"/>
  <c r="E647" i="5" a="1"/>
  <c r="E647" i="5"/>
  <c r="E648" i="5" a="1"/>
  <c r="E648" i="5"/>
  <c r="E649" i="5" a="1"/>
  <c r="E649" i="5"/>
  <c r="E650" i="5" a="1"/>
  <c r="E650" i="5" s="1"/>
  <c r="E651" i="5" a="1"/>
  <c r="E651" i="5" s="1"/>
  <c r="E652" i="5" a="1"/>
  <c r="E652" i="5"/>
  <c r="E653" i="5" a="1"/>
  <c r="E653" i="5" s="1"/>
  <c r="E654" i="5" a="1"/>
  <c r="E654" i="5" s="1"/>
  <c r="E655" i="5" a="1"/>
  <c r="E655" i="5" s="1"/>
  <c r="E656" i="5" a="1"/>
  <c r="E656" i="5" s="1"/>
  <c r="E657" i="5" a="1"/>
  <c r="E657" i="5" s="1"/>
  <c r="E658" i="5" a="1"/>
  <c r="E658" i="5" s="1"/>
  <c r="E659" i="5" a="1"/>
  <c r="E659" i="5"/>
  <c r="E660" i="5" a="1"/>
  <c r="E660" i="5" s="1"/>
  <c r="E661" i="5" a="1"/>
  <c r="E661" i="5"/>
  <c r="E662" i="5" a="1"/>
  <c r="E662" i="5" s="1"/>
  <c r="E663" i="5" a="1"/>
  <c r="E663" i="5"/>
  <c r="E664" i="5" a="1"/>
  <c r="E664" i="5"/>
  <c r="E665" i="5" a="1"/>
  <c r="E665" i="5"/>
  <c r="E666" i="5" a="1"/>
  <c r="E666" i="5"/>
  <c r="E667" i="5" a="1"/>
  <c r="E667" i="5" s="1"/>
  <c r="E668" i="5" a="1"/>
  <c r="E668" i="5" s="1"/>
  <c r="E669" i="5" a="1"/>
  <c r="E669" i="5"/>
  <c r="E670" i="5" a="1"/>
  <c r="E670" i="5" s="1"/>
  <c r="E671" i="5" a="1"/>
  <c r="E671" i="5" s="1"/>
  <c r="E672" i="5" a="1"/>
  <c r="E672" i="5" s="1"/>
  <c r="E673" i="5" a="1"/>
  <c r="E673" i="5" s="1"/>
  <c r="E674" i="5" a="1"/>
  <c r="E674" i="5" s="1"/>
  <c r="E675" i="5" a="1"/>
  <c r="E675" i="5" s="1"/>
  <c r="E676" i="5" a="1"/>
  <c r="E676" i="5"/>
  <c r="E677" i="5" a="1"/>
  <c r="E677" i="5" s="1"/>
  <c r="E678" i="5" a="1"/>
  <c r="E678" i="5" s="1"/>
  <c r="E679" i="5" a="1"/>
  <c r="E679" i="5" s="1"/>
  <c r="E680" i="5" a="1"/>
  <c r="E680" i="5"/>
  <c r="E681" i="5" a="1"/>
  <c r="E681" i="5"/>
  <c r="E682" i="5" a="1"/>
  <c r="E682" i="5"/>
  <c r="E683" i="5" a="1"/>
  <c r="E683" i="5"/>
  <c r="E684" i="5" a="1"/>
  <c r="E684" i="5" s="1"/>
  <c r="E685" i="5" a="1"/>
  <c r="E685" i="5" s="1"/>
  <c r="E686" i="5" a="1"/>
  <c r="E686" i="5"/>
  <c r="E687" i="5" a="1"/>
  <c r="E687" i="5" s="1"/>
  <c r="E688" i="5" a="1"/>
  <c r="E688" i="5"/>
  <c r="E689" i="5" a="1"/>
  <c r="E689" i="5"/>
  <c r="E690" i="5" a="1"/>
  <c r="E690" i="5"/>
  <c r="E691" i="5" a="1"/>
  <c r="E691" i="5"/>
  <c r="E692" i="5" a="1"/>
  <c r="E692" i="5" s="1"/>
  <c r="E693" i="5" a="1"/>
  <c r="E693" i="5" s="1"/>
  <c r="E694" i="5" a="1"/>
  <c r="E694" i="5"/>
  <c r="E695" i="5" a="1"/>
  <c r="E695" i="5" s="1"/>
  <c r="E696" i="5" a="1"/>
  <c r="E696" i="5"/>
  <c r="E697" i="5" a="1"/>
  <c r="E697" i="5"/>
  <c r="E698" i="5" a="1"/>
  <c r="E698" i="5"/>
  <c r="E699" i="5" a="1"/>
  <c r="E699" i="5"/>
  <c r="E700" i="5" a="1"/>
  <c r="E700" i="5" s="1"/>
  <c r="E701" i="5" a="1"/>
  <c r="E701" i="5" s="1"/>
  <c r="E702" i="5" a="1"/>
  <c r="E702" i="5"/>
  <c r="E703" i="5" a="1"/>
  <c r="E703" i="5" s="1"/>
  <c r="E704" i="5" a="1"/>
  <c r="E704" i="5"/>
  <c r="E705" i="5" a="1"/>
  <c r="E705" i="5"/>
  <c r="E706" i="5" a="1"/>
  <c r="E706" i="5"/>
  <c r="E707" i="5" a="1"/>
  <c r="E707" i="5"/>
  <c r="E708" i="5" a="1"/>
  <c r="E708" i="5" s="1"/>
  <c r="E709" i="5" a="1"/>
  <c r="E709" i="5" s="1"/>
  <c r="E710" i="5" a="1"/>
  <c r="E710" i="5"/>
  <c r="E711" i="5" a="1"/>
  <c r="E711" i="5" s="1"/>
  <c r="E712" i="5" a="1"/>
  <c r="E712" i="5"/>
  <c r="E713" i="5" a="1"/>
  <c r="E713" i="5"/>
  <c r="E714" i="5" a="1"/>
  <c r="E714" i="5"/>
  <c r="E715" i="5" a="1"/>
  <c r="E715" i="5"/>
  <c r="E716" i="5" a="1"/>
  <c r="E716" i="5" s="1"/>
  <c r="E717" i="5" a="1"/>
  <c r="E717" i="5" s="1"/>
  <c r="E718" i="5" a="1"/>
  <c r="E718" i="5"/>
  <c r="E719" i="5" a="1"/>
  <c r="E719" i="5" s="1"/>
  <c r="E720" i="5" a="1"/>
  <c r="E720" i="5"/>
  <c r="E721" i="5" a="1"/>
  <c r="E721" i="5"/>
  <c r="E722" i="5" a="1"/>
  <c r="E722" i="5"/>
  <c r="E723" i="5" a="1"/>
  <c r="E723" i="5"/>
  <c r="E724" i="5" a="1"/>
  <c r="E724" i="5" s="1"/>
  <c r="E725" i="5" a="1"/>
  <c r="E725" i="5" s="1"/>
  <c r="E726" i="5" a="1"/>
  <c r="E726" i="5"/>
  <c r="E727" i="5" a="1"/>
  <c r="E727" i="5" s="1"/>
  <c r="E728" i="5" a="1"/>
  <c r="E728" i="5"/>
  <c r="E729" i="5" a="1"/>
  <c r="E729" i="5"/>
  <c r="E730" i="5" a="1"/>
  <c r="E730" i="5"/>
  <c r="E731" i="5" a="1"/>
  <c r="E731" i="5"/>
  <c r="E732" i="5" a="1"/>
  <c r="E732" i="5" s="1"/>
  <c r="E733" i="5" a="1"/>
  <c r="E733" i="5" s="1"/>
  <c r="E734" i="5" a="1"/>
  <c r="E734" i="5"/>
  <c r="E735" i="5" a="1"/>
  <c r="E735" i="5" s="1"/>
  <c r="E736" i="5" a="1"/>
  <c r="E736" i="5"/>
  <c r="E737" i="5" a="1"/>
  <c r="E737" i="5"/>
  <c r="E738" i="5" a="1"/>
  <c r="E738" i="5"/>
  <c r="E739" i="5" a="1"/>
  <c r="E739" i="5"/>
  <c r="E740" i="5" a="1"/>
  <c r="E740" i="5" s="1"/>
  <c r="E741" i="5" a="1"/>
  <c r="E741" i="5" s="1"/>
  <c r="E742" i="5" a="1"/>
  <c r="E742" i="5"/>
  <c r="E743" i="5" a="1"/>
  <c r="E743" i="5" s="1"/>
  <c r="E744" i="5" a="1"/>
  <c r="E744" i="5"/>
  <c r="E745" i="5" a="1"/>
  <c r="E745" i="5"/>
  <c r="E746" i="5" a="1"/>
  <c r="E746" i="5"/>
  <c r="E747" i="5" a="1"/>
  <c r="E747" i="5"/>
  <c r="E748" i="5" a="1"/>
  <c r="E748" i="5" s="1"/>
  <c r="E749" i="5" a="1"/>
  <c r="E749" i="5" s="1"/>
  <c r="E750" i="5" a="1"/>
  <c r="E750" i="5"/>
  <c r="E751" i="5" a="1"/>
  <c r="E751" i="5" s="1"/>
  <c r="E752" i="5" a="1"/>
  <c r="E752" i="5" s="1"/>
  <c r="E753" i="5" a="1"/>
  <c r="E753" i="5" s="1"/>
  <c r="E754" i="5" a="1"/>
  <c r="E754" i="5" s="1"/>
  <c r="E755" i="5" a="1"/>
  <c r="E755" i="5"/>
  <c r="E756" i="5" a="1"/>
  <c r="E756" i="5" s="1"/>
  <c r="E757" i="5" a="1"/>
  <c r="E757" i="5" s="1"/>
  <c r="E758" i="5" a="1"/>
  <c r="E758" i="5"/>
  <c r="E759" i="5" a="1"/>
  <c r="E759" i="5" s="1"/>
  <c r="E760" i="5" a="1"/>
  <c r="E760" i="5" s="1"/>
  <c r="E761" i="5" a="1"/>
  <c r="E761" i="5" s="1"/>
  <c r="E762" i="5" a="1"/>
  <c r="E762" i="5" s="1"/>
  <c r="E763" i="5" a="1"/>
  <c r="E763" i="5"/>
  <c r="E764" i="5" a="1"/>
  <c r="E764" i="5" s="1"/>
  <c r="E765" i="5" a="1"/>
  <c r="E765" i="5" s="1"/>
  <c r="E766" i="5" a="1"/>
  <c r="E766" i="5" s="1"/>
  <c r="E767" i="5" a="1"/>
  <c r="E767" i="5" s="1"/>
  <c r="E768" i="5" a="1"/>
  <c r="E768" i="5" s="1"/>
  <c r="E769" i="5" a="1"/>
  <c r="E769" i="5" s="1"/>
  <c r="E770" i="5" a="1"/>
  <c r="E770" i="5" s="1"/>
  <c r="E771" i="5" a="1"/>
  <c r="E771" i="5"/>
  <c r="E772" i="5" a="1"/>
  <c r="E772" i="5" s="1"/>
  <c r="E773" i="5" a="1"/>
  <c r="E773" i="5" s="1"/>
  <c r="E774" i="5" a="1"/>
  <c r="E774" i="5" s="1"/>
  <c r="E775" i="5" a="1"/>
  <c r="E775" i="5" s="1"/>
  <c r="E776" i="5" a="1"/>
  <c r="E776" i="5" s="1"/>
  <c r="E777" i="5" a="1"/>
  <c r="E777" i="5" s="1"/>
  <c r="E778" i="5" a="1"/>
  <c r="E778" i="5" s="1"/>
  <c r="E779" i="5" a="1"/>
  <c r="E779" i="5"/>
  <c r="E780" i="5" a="1"/>
  <c r="E780" i="5" s="1"/>
  <c r="E781" i="5" a="1"/>
  <c r="E781" i="5" s="1"/>
  <c r="E782" i="5" a="1"/>
  <c r="E782" i="5" s="1"/>
  <c r="E783" i="5" a="1"/>
  <c r="E783" i="5" s="1"/>
  <c r="E784" i="5" a="1"/>
  <c r="E784" i="5" s="1"/>
  <c r="E785" i="5" a="1"/>
  <c r="E785" i="5" s="1"/>
  <c r="E786" i="5" a="1"/>
  <c r="E786" i="5" s="1"/>
  <c r="E787" i="5" a="1"/>
  <c r="E787" i="5"/>
  <c r="E788" i="5" a="1"/>
  <c r="E788" i="5" s="1"/>
  <c r="E789" i="5" a="1"/>
  <c r="E789" i="5" s="1"/>
  <c r="E790" i="5" a="1"/>
  <c r="E790" i="5" s="1"/>
  <c r="E791" i="5" a="1"/>
  <c r="E791" i="5" s="1"/>
  <c r="E792" i="5" a="1"/>
  <c r="E792" i="5" s="1"/>
  <c r="E793" i="5" a="1"/>
  <c r="E793" i="5" s="1"/>
  <c r="E794" i="5" a="1"/>
  <c r="E794" i="5" s="1"/>
  <c r="E795" i="5" a="1"/>
  <c r="E795" i="5"/>
  <c r="E796" i="5" a="1"/>
  <c r="E796" i="5" s="1"/>
  <c r="E797" i="5" a="1"/>
  <c r="E797" i="5" s="1"/>
  <c r="E798" i="5" a="1"/>
  <c r="E798" i="5" s="1"/>
  <c r="E799" i="5" a="1"/>
  <c r="E799" i="5" s="1"/>
  <c r="E800" i="5" a="1"/>
  <c r="E800" i="5" s="1"/>
  <c r="E801" i="5" a="1"/>
  <c r="E801" i="5" s="1"/>
  <c r="E802" i="5" a="1"/>
  <c r="E802" i="5" s="1"/>
  <c r="E803" i="5" a="1"/>
  <c r="E803" i="5"/>
  <c r="E804" i="5" a="1"/>
  <c r="E804" i="5" s="1"/>
  <c r="E805" i="5" a="1"/>
  <c r="E805" i="5" s="1"/>
  <c r="E806" i="5" a="1"/>
  <c r="E806" i="5" s="1"/>
  <c r="E807" i="5" a="1"/>
  <c r="E807" i="5" s="1"/>
  <c r="E808" i="5" a="1"/>
  <c r="E808" i="5" s="1"/>
  <c r="E809" i="5" a="1"/>
  <c r="E809" i="5" s="1"/>
  <c r="E810" i="5" a="1"/>
  <c r="E810" i="5" s="1"/>
  <c r="E811" i="5" a="1"/>
  <c r="E811" i="5"/>
  <c r="E812" i="5" a="1"/>
  <c r="E812" i="5" s="1"/>
  <c r="E813" i="5" a="1"/>
  <c r="E813" i="5" s="1"/>
  <c r="E814" i="5" a="1"/>
  <c r="E814" i="5" s="1"/>
  <c r="E815" i="5" a="1"/>
  <c r="E815" i="5" s="1"/>
  <c r="E816" i="5" a="1"/>
  <c r="E816" i="5" s="1"/>
  <c r="E817" i="5" a="1"/>
  <c r="E817" i="5" s="1"/>
  <c r="E818" i="5" a="1"/>
  <c r="E818" i="5" s="1"/>
  <c r="E819" i="5" a="1"/>
  <c r="E819" i="5" s="1"/>
  <c r="E820" i="5" a="1"/>
  <c r="E820" i="5" s="1"/>
  <c r="E821" i="5" a="1"/>
  <c r="E821" i="5" s="1"/>
  <c r="E822" i="5" a="1"/>
  <c r="E822" i="5" s="1"/>
  <c r="E823" i="5" a="1"/>
  <c r="E823" i="5" s="1"/>
  <c r="E824" i="5" a="1"/>
  <c r="E824" i="5" s="1"/>
  <c r="E825" i="5" a="1"/>
  <c r="E825" i="5" s="1"/>
  <c r="E826" i="5" a="1"/>
  <c r="E826" i="5" s="1"/>
  <c r="E827" i="5" a="1"/>
  <c r="E827" i="5" s="1"/>
  <c r="E828" i="5" a="1"/>
  <c r="E828" i="5" s="1"/>
  <c r="E829" i="5" a="1"/>
  <c r="E829" i="5" s="1"/>
  <c r="E830" i="5" a="1"/>
  <c r="E830" i="5" s="1"/>
  <c r="E831" i="5" a="1"/>
  <c r="E831" i="5" s="1"/>
  <c r="E832" i="5" a="1"/>
  <c r="E832" i="5" s="1"/>
  <c r="E833" i="5" a="1"/>
  <c r="E833" i="5" s="1"/>
  <c r="E834" i="5" a="1"/>
  <c r="E834" i="5" s="1"/>
  <c r="E835" i="5" a="1"/>
  <c r="E835" i="5" s="1"/>
  <c r="E836" i="5" a="1"/>
  <c r="E836" i="5" s="1"/>
  <c r="E837" i="5" a="1"/>
  <c r="E837" i="5" s="1"/>
  <c r="E838" i="5" a="1"/>
  <c r="E838" i="5" s="1"/>
  <c r="E839" i="5" a="1"/>
  <c r="E839" i="5" s="1"/>
  <c r="E840" i="5" a="1"/>
  <c r="E840" i="5" s="1"/>
  <c r="E841" i="5" a="1"/>
  <c r="E841" i="5" s="1"/>
  <c r="E842" i="5" a="1"/>
  <c r="E842" i="5" s="1"/>
  <c r="E843" i="5" a="1"/>
  <c r="E843" i="5" s="1"/>
  <c r="E844" i="5" a="1"/>
  <c r="E844" i="5" s="1"/>
  <c r="E845" i="5" a="1"/>
  <c r="E845" i="5" s="1"/>
  <c r="E846" i="5" a="1"/>
  <c r="E846" i="5" s="1"/>
  <c r="E847" i="5" a="1"/>
  <c r="E847" i="5" s="1"/>
  <c r="E848" i="5" a="1"/>
  <c r="E848" i="5" s="1"/>
  <c r="E849" i="5" a="1"/>
  <c r="E849" i="5" s="1"/>
  <c r="E850" i="5" a="1"/>
  <c r="E850" i="5" s="1"/>
  <c r="E851" i="5" a="1"/>
  <c r="E851" i="5" s="1"/>
  <c r="E852" i="5" a="1"/>
  <c r="E852" i="5" s="1"/>
  <c r="E853" i="5" a="1"/>
  <c r="E853" i="5" s="1"/>
  <c r="E854" i="5" a="1"/>
  <c r="E854" i="5" s="1"/>
  <c r="E855" i="5" a="1"/>
  <c r="E855" i="5" s="1"/>
  <c r="E856" i="5" a="1"/>
  <c r="E856" i="5" s="1"/>
  <c r="E857" i="5" a="1"/>
  <c r="E857" i="5" s="1"/>
  <c r="E858" i="5" a="1"/>
  <c r="E858" i="5" s="1"/>
  <c r="E859" i="5" a="1"/>
  <c r="E859" i="5" s="1"/>
  <c r="E860" i="5" a="1"/>
  <c r="E860" i="5" s="1"/>
  <c r="E861" i="5" a="1"/>
  <c r="E861" i="5" s="1"/>
  <c r="E862" i="5" a="1"/>
  <c r="E862" i="5" s="1"/>
  <c r="E863" i="5" a="1"/>
  <c r="E863" i="5" s="1"/>
  <c r="E864" i="5" a="1"/>
  <c r="E864" i="5" s="1"/>
  <c r="E865" i="5" a="1"/>
  <c r="E865" i="5" s="1"/>
  <c r="E866" i="5" a="1"/>
  <c r="E866" i="5" s="1"/>
  <c r="E867" i="5" a="1"/>
  <c r="E867" i="5" s="1"/>
  <c r="E868" i="5" a="1"/>
  <c r="E868" i="5" s="1"/>
  <c r="E869" i="5" a="1"/>
  <c r="E869" i="5" s="1"/>
  <c r="E870" i="5" a="1"/>
  <c r="E870" i="5" s="1"/>
  <c r="E871" i="5" a="1"/>
  <c r="E871" i="5" s="1"/>
  <c r="E872" i="5" a="1"/>
  <c r="E872" i="5" s="1"/>
  <c r="E873" i="5" a="1"/>
  <c r="E873" i="5" s="1"/>
  <c r="E874" i="5" a="1"/>
  <c r="E874" i="5" s="1"/>
  <c r="E875" i="5" a="1"/>
  <c r="E875" i="5" s="1"/>
  <c r="E876" i="5" a="1"/>
  <c r="E876" i="5" s="1"/>
  <c r="E877" i="5" a="1"/>
  <c r="E877" i="5" s="1"/>
  <c r="E878" i="5" a="1"/>
  <c r="E878" i="5" s="1"/>
  <c r="E879" i="5" a="1"/>
  <c r="E879" i="5" s="1"/>
  <c r="E880" i="5" a="1"/>
  <c r="E880" i="5" s="1"/>
  <c r="E881" i="5" a="1"/>
  <c r="E881" i="5" s="1"/>
  <c r="E882" i="5" a="1"/>
  <c r="E882" i="5" s="1"/>
  <c r="E883" i="5" a="1"/>
  <c r="E883" i="5" s="1"/>
  <c r="E884" i="5" a="1"/>
  <c r="E884" i="5" s="1"/>
  <c r="E885" i="5" a="1"/>
  <c r="E885" i="5" s="1"/>
  <c r="E886" i="5" a="1"/>
  <c r="E886" i="5" s="1"/>
  <c r="E887" i="5" a="1"/>
  <c r="E887" i="5" s="1"/>
  <c r="E888" i="5" a="1"/>
  <c r="E888" i="5" s="1"/>
  <c r="E889" i="5" a="1"/>
  <c r="E889" i="5" s="1"/>
  <c r="E890" i="5" a="1"/>
  <c r="E890" i="5" s="1"/>
  <c r="E891" i="5" a="1"/>
  <c r="E891" i="5" s="1"/>
  <c r="E892" i="5" a="1"/>
  <c r="E892" i="5" s="1"/>
  <c r="E893" i="5" a="1"/>
  <c r="E893" i="5" s="1"/>
  <c r="E894" i="5" a="1"/>
  <c r="E894" i="5" s="1"/>
  <c r="E895" i="5" a="1"/>
  <c r="E895" i="5" s="1"/>
  <c r="E896" i="5" a="1"/>
  <c r="E896" i="5" s="1"/>
  <c r="E897" i="5" a="1"/>
  <c r="E897" i="5" s="1"/>
  <c r="E898" i="5" a="1"/>
  <c r="E898" i="5" s="1"/>
  <c r="E899" i="5" a="1"/>
  <c r="E899" i="5" s="1"/>
  <c r="E900" i="5" a="1"/>
  <c r="E900" i="5" s="1"/>
  <c r="E901" i="5" a="1"/>
  <c r="E901" i="5" s="1"/>
  <c r="E902" i="5" a="1"/>
  <c r="E902" i="5" s="1"/>
  <c r="E903" i="5" a="1"/>
  <c r="E903" i="5" s="1"/>
  <c r="E904" i="5" a="1"/>
  <c r="E904" i="5" s="1"/>
  <c r="E905" i="5" a="1"/>
  <c r="E905" i="5" s="1"/>
  <c r="E906" i="5" a="1"/>
  <c r="E906" i="5" s="1"/>
  <c r="E907" i="5" a="1"/>
  <c r="E907" i="5" s="1"/>
  <c r="E908" i="5" a="1"/>
  <c r="E908" i="5" s="1"/>
  <c r="E909" i="5" a="1"/>
  <c r="E909" i="5" s="1"/>
  <c r="E910" i="5" a="1"/>
  <c r="E910" i="5" s="1"/>
  <c r="E911" i="5" a="1"/>
  <c r="E911" i="5" s="1"/>
  <c r="E912" i="5" a="1"/>
  <c r="E912" i="5" s="1"/>
  <c r="E913" i="5" a="1"/>
  <c r="E913" i="5" s="1"/>
  <c r="E914" i="5" a="1"/>
  <c r="E914" i="5" s="1"/>
  <c r="E915" i="5" a="1"/>
  <c r="E915" i="5" s="1"/>
  <c r="E916" i="5" a="1"/>
  <c r="E916" i="5" s="1"/>
  <c r="E917" i="5" a="1"/>
  <c r="E917" i="5" s="1"/>
  <c r="E918" i="5" a="1"/>
  <c r="E918" i="5" s="1"/>
  <c r="E919" i="5" a="1"/>
  <c r="E919" i="5" s="1"/>
  <c r="E920" i="5" a="1"/>
  <c r="E920" i="5" s="1"/>
  <c r="E921" i="5" a="1"/>
  <c r="E921" i="5" s="1"/>
  <c r="E922" i="5" a="1"/>
  <c r="E922" i="5" s="1"/>
  <c r="E923" i="5" a="1"/>
  <c r="E923" i="5" s="1"/>
  <c r="E924" i="5" a="1"/>
  <c r="E924" i="5" s="1"/>
  <c r="E925" i="5" a="1"/>
  <c r="E925" i="5" s="1"/>
  <c r="E926" i="5" a="1"/>
  <c r="E926" i="5" s="1"/>
  <c r="E927" i="5" a="1"/>
  <c r="E927" i="5" s="1"/>
  <c r="E928" i="5" a="1"/>
  <c r="E928" i="5" s="1"/>
  <c r="E929" i="5" a="1"/>
  <c r="E929" i="5" s="1"/>
  <c r="E930" i="5" a="1"/>
  <c r="E930" i="5" s="1"/>
  <c r="E931" i="5" a="1"/>
  <c r="E931" i="5" s="1"/>
  <c r="E932" i="5" a="1"/>
  <c r="E932" i="5" s="1"/>
  <c r="E933" i="5" a="1"/>
  <c r="E933" i="5" s="1"/>
  <c r="E934" i="5" a="1"/>
  <c r="E934" i="5" s="1"/>
  <c r="E935" i="5" a="1"/>
  <c r="E935" i="5" s="1"/>
  <c r="E936" i="5" a="1"/>
  <c r="E936" i="5" s="1"/>
  <c r="E937" i="5" a="1"/>
  <c r="E937" i="5" s="1"/>
  <c r="E938" i="5" a="1"/>
  <c r="E938" i="5" s="1"/>
  <c r="E939" i="5" a="1"/>
  <c r="E939" i="5" s="1"/>
  <c r="E940" i="5" a="1"/>
  <c r="E940" i="5" s="1"/>
  <c r="E941" i="5" a="1"/>
  <c r="E941" i="5" s="1"/>
  <c r="E942" i="5" a="1"/>
  <c r="E942" i="5" s="1"/>
  <c r="E943" i="5" a="1"/>
  <c r="E943" i="5" s="1"/>
  <c r="E944" i="5" a="1"/>
  <c r="E944" i="5" s="1"/>
  <c r="E945" i="5" a="1"/>
  <c r="E945" i="5" s="1"/>
  <c r="E946" i="5" a="1"/>
  <c r="E946" i="5" s="1"/>
  <c r="E947" i="5" a="1"/>
  <c r="E947" i="5" s="1"/>
  <c r="E948" i="5" a="1"/>
  <c r="E948" i="5" s="1"/>
  <c r="E949" i="5" a="1"/>
  <c r="E949" i="5" s="1"/>
  <c r="E950" i="5" a="1"/>
  <c r="E950" i="5" s="1"/>
  <c r="E951" i="5" a="1"/>
  <c r="E951" i="5" s="1"/>
  <c r="E952" i="5" a="1"/>
  <c r="E952" i="5" s="1"/>
  <c r="E953" i="5" a="1"/>
  <c r="E953" i="5" s="1"/>
  <c r="E954" i="5" a="1"/>
  <c r="E954" i="5" s="1"/>
  <c r="E955" i="5" a="1"/>
  <c r="E955" i="5" s="1"/>
  <c r="E956" i="5" a="1"/>
  <c r="E956" i="5" s="1"/>
  <c r="E957" i="5" a="1"/>
  <c r="E957" i="5" s="1"/>
  <c r="E958" i="5" a="1"/>
  <c r="E958" i="5" s="1"/>
  <c r="E959" i="5" a="1"/>
  <c r="E959" i="5" s="1"/>
  <c r="E960" i="5" a="1"/>
  <c r="E960" i="5" s="1"/>
  <c r="E961" i="5" a="1"/>
  <c r="E961" i="5" s="1"/>
  <c r="E962" i="5" a="1"/>
  <c r="E962" i="5" s="1"/>
  <c r="E963" i="5" a="1"/>
  <c r="E963" i="5" s="1"/>
  <c r="E964" i="5" a="1"/>
  <c r="E964" i="5" s="1"/>
  <c r="E965" i="5" a="1"/>
  <c r="E965" i="5" s="1"/>
  <c r="E966" i="5" a="1"/>
  <c r="E966" i="5" s="1"/>
  <c r="E967" i="5" a="1"/>
  <c r="E967" i="5" s="1"/>
  <c r="E968" i="5" a="1"/>
  <c r="E968" i="5" s="1"/>
  <c r="E969" i="5" a="1"/>
  <c r="E969" i="5" s="1"/>
  <c r="E970" i="5" a="1"/>
  <c r="E970" i="5" s="1"/>
  <c r="E971" i="5" a="1"/>
  <c r="E971" i="5" s="1"/>
  <c r="E972" i="5" a="1"/>
  <c r="E972" i="5" s="1"/>
  <c r="E973" i="5" a="1"/>
  <c r="E973" i="5" s="1"/>
  <c r="E974" i="5" a="1"/>
  <c r="E974" i="5" s="1"/>
  <c r="E975" i="5" a="1"/>
  <c r="E975" i="5" s="1"/>
  <c r="E976" i="5" a="1"/>
  <c r="E976" i="5" s="1"/>
  <c r="E977" i="5" a="1"/>
  <c r="E977" i="5" s="1"/>
  <c r="E978" i="5" a="1"/>
  <c r="E978" i="5" s="1"/>
  <c r="E979" i="5" a="1"/>
  <c r="E979" i="5" s="1"/>
  <c r="E980" i="5" a="1"/>
  <c r="E980" i="5" s="1"/>
  <c r="E981" i="5" a="1"/>
  <c r="E981" i="5" s="1"/>
  <c r="E982" i="5" a="1"/>
  <c r="E982" i="5" s="1"/>
  <c r="E983" i="5" a="1"/>
  <c r="E983" i="5" s="1"/>
  <c r="E984" i="5" a="1"/>
  <c r="E984" i="5" s="1"/>
  <c r="E985" i="5" a="1"/>
  <c r="E985" i="5" s="1"/>
  <c r="E986" i="5" a="1"/>
  <c r="E986" i="5" s="1"/>
  <c r="E987" i="5" a="1"/>
  <c r="E987" i="5" s="1"/>
  <c r="E988" i="5" a="1"/>
  <c r="E988" i="5" s="1"/>
  <c r="E989" i="5" a="1"/>
  <c r="E989" i="5" s="1"/>
  <c r="E990" i="5" a="1"/>
  <c r="E990" i="5" s="1"/>
  <c r="E991" i="5" a="1"/>
  <c r="E991" i="5" s="1"/>
  <c r="E992" i="5" a="1"/>
  <c r="E992" i="5" s="1"/>
  <c r="E993" i="5" a="1"/>
  <c r="E993" i="5" s="1"/>
  <c r="E994" i="5" a="1"/>
  <c r="E994" i="5" s="1"/>
  <c r="E995" i="5" a="1"/>
  <c r="E995" i="5" s="1"/>
  <c r="E996" i="5" a="1"/>
  <c r="E996" i="5" s="1"/>
  <c r="E997" i="5" a="1"/>
  <c r="E997" i="5" s="1"/>
  <c r="E998" i="5" a="1"/>
  <c r="E998" i="5" s="1"/>
  <c r="E999" i="5" a="1"/>
  <c r="E999" i="5" s="1"/>
  <c r="E1000" i="5" a="1"/>
  <c r="E1000" i="5" s="1"/>
  <c r="E1001" i="5" a="1"/>
  <c r="E1001" i="5" s="1"/>
  <c r="E2" i="5" a="1"/>
  <c r="E2" i="5" s="1"/>
  <c r="N3" i="5" a="1"/>
  <c r="N3" i="5"/>
  <c r="N4" i="5" a="1"/>
  <c r="N4" i="5" s="1"/>
  <c r="N5" i="5" a="1"/>
  <c r="N5" i="5"/>
  <c r="N6" i="5" a="1"/>
  <c r="N6" i="5" s="1"/>
  <c r="N7" i="5" a="1"/>
  <c r="N7" i="5"/>
  <c r="N8" i="5" a="1"/>
  <c r="N8" i="5"/>
  <c r="N9" i="5" a="1"/>
  <c r="N9" i="5" s="1"/>
  <c r="N10" i="5" a="1"/>
  <c r="N10" i="5"/>
  <c r="N11" i="5" a="1"/>
  <c r="N11" i="5"/>
  <c r="N12" i="5" a="1"/>
  <c r="N12" i="5" s="1"/>
  <c r="N13" i="5" a="1"/>
  <c r="N13" i="5" s="1"/>
  <c r="N14" i="5" a="1"/>
  <c r="N14" i="5" s="1"/>
  <c r="N15" i="5" a="1"/>
  <c r="N15" i="5"/>
  <c r="N16" i="5" a="1"/>
  <c r="N16" i="5"/>
  <c r="N17" i="5" a="1"/>
  <c r="N17" i="5" s="1"/>
  <c r="N18" i="5" a="1"/>
  <c r="N18" i="5" s="1"/>
  <c r="N19" i="5" a="1"/>
  <c r="N19" i="5"/>
  <c r="N20" i="5" a="1"/>
  <c r="N20" i="5" s="1"/>
  <c r="N21" i="5" a="1"/>
  <c r="N21" i="5" s="1"/>
  <c r="N22" i="5" a="1"/>
  <c r="N22" i="5" s="1"/>
  <c r="N23" i="5" a="1"/>
  <c r="N23" i="5" s="1"/>
  <c r="N24" i="5" a="1"/>
  <c r="N24" i="5"/>
  <c r="N25" i="5" a="1"/>
  <c r="N25" i="5" s="1"/>
  <c r="N26" i="5" a="1"/>
  <c r="N26" i="5" s="1"/>
  <c r="N27" i="5" a="1"/>
  <c r="N27" i="5" s="1"/>
  <c r="N28" i="5" a="1"/>
  <c r="N28" i="5" s="1"/>
  <c r="N29" i="5" a="1"/>
  <c r="N29" i="5"/>
  <c r="N30" i="5" a="1"/>
  <c r="N30" i="5" s="1"/>
  <c r="N31" i="5" a="1"/>
  <c r="N31" i="5" s="1"/>
  <c r="N32" i="5" a="1"/>
  <c r="N32" i="5"/>
  <c r="N33" i="5" a="1"/>
  <c r="N33" i="5" s="1"/>
  <c r="N34" i="5" a="1"/>
  <c r="N34" i="5"/>
  <c r="N35" i="5" a="1"/>
  <c r="N35" i="5" s="1"/>
  <c r="N36" i="5" a="1"/>
  <c r="N36" i="5"/>
  <c r="N37" i="5" a="1"/>
  <c r="N37" i="5" s="1"/>
  <c r="N38" i="5" a="1"/>
  <c r="N38" i="5" s="1"/>
  <c r="N39" i="5" a="1"/>
  <c r="N39" i="5" s="1"/>
  <c r="N40" i="5" a="1"/>
  <c r="N40" i="5"/>
  <c r="N41" i="5" a="1"/>
  <c r="N41" i="5" s="1"/>
  <c r="N42" i="5" a="1"/>
  <c r="N42" i="5"/>
  <c r="N43" i="5" a="1"/>
  <c r="N43" i="5" s="1"/>
  <c r="N44" i="5" a="1"/>
  <c r="N44" i="5" s="1"/>
  <c r="N45" i="5" a="1"/>
  <c r="N45" i="5" s="1"/>
  <c r="N46" i="5" a="1"/>
  <c r="N46" i="5" s="1"/>
  <c r="N47" i="5" a="1"/>
  <c r="N47" i="5" s="1"/>
  <c r="N48" i="5" a="1"/>
  <c r="N48" i="5"/>
  <c r="N49" i="5" a="1"/>
  <c r="N49" i="5" s="1"/>
  <c r="N50" i="5" a="1"/>
  <c r="N50" i="5" s="1"/>
  <c r="N51" i="5" a="1"/>
  <c r="N51" i="5" s="1"/>
  <c r="N52" i="5" a="1"/>
  <c r="N52" i="5" s="1"/>
  <c r="N53" i="5" a="1"/>
  <c r="N53" i="5"/>
  <c r="N54" i="5" a="1"/>
  <c r="N54" i="5" s="1"/>
  <c r="N55" i="5" a="1"/>
  <c r="N55" i="5" s="1"/>
  <c r="N56" i="5" a="1"/>
  <c r="N56" i="5"/>
  <c r="N57" i="5" a="1"/>
  <c r="N57" i="5" s="1"/>
  <c r="N58" i="5" a="1"/>
  <c r="N58" i="5" s="1"/>
  <c r="N59" i="5" a="1"/>
  <c r="N59" i="5"/>
  <c r="N60" i="5" a="1"/>
  <c r="N60" i="5"/>
  <c r="N61" i="5" a="1"/>
  <c r="N61" i="5"/>
  <c r="N62" i="5" a="1"/>
  <c r="N62" i="5" s="1"/>
  <c r="N63" i="5" a="1"/>
  <c r="N63" i="5" s="1"/>
  <c r="N64" i="5" a="1"/>
  <c r="N64" i="5"/>
  <c r="N65" i="5" a="1"/>
  <c r="N65" i="5" s="1"/>
  <c r="N66" i="5" a="1"/>
  <c r="N66" i="5"/>
  <c r="N67" i="5" a="1"/>
  <c r="N67" i="5" s="1"/>
  <c r="N68" i="5" a="1"/>
  <c r="N68" i="5"/>
  <c r="N69" i="5" a="1"/>
  <c r="N69" i="5" s="1"/>
  <c r="N70" i="5" a="1"/>
  <c r="N70" i="5" s="1"/>
  <c r="N71" i="5" a="1"/>
  <c r="N71" i="5" s="1"/>
  <c r="N72" i="5" a="1"/>
  <c r="N72" i="5" s="1"/>
  <c r="N73" i="5" a="1"/>
  <c r="N73" i="5" s="1"/>
  <c r="N74" i="5" a="1"/>
  <c r="N74" i="5" s="1"/>
  <c r="N75" i="5" a="1"/>
  <c r="N75" i="5" s="1"/>
  <c r="N76" i="5" a="1"/>
  <c r="N76" i="5" s="1"/>
  <c r="N77" i="5" a="1"/>
  <c r="N77" i="5" s="1"/>
  <c r="N78" i="5" a="1"/>
  <c r="N78" i="5" s="1"/>
  <c r="N79" i="5" a="1"/>
  <c r="N79" i="5" s="1"/>
  <c r="N80" i="5" a="1"/>
  <c r="N80" i="5"/>
  <c r="N81" i="5" a="1"/>
  <c r="N81" i="5" s="1"/>
  <c r="N82" i="5" a="1"/>
  <c r="N82" i="5" s="1"/>
  <c r="N83" i="5" a="1"/>
  <c r="N83" i="5"/>
  <c r="N84" i="5" a="1"/>
  <c r="N84" i="5" s="1"/>
  <c r="N85" i="5" a="1"/>
  <c r="N85" i="5"/>
  <c r="N86" i="5" a="1"/>
  <c r="N86" i="5" s="1"/>
  <c r="N87" i="5" a="1"/>
  <c r="N87" i="5" s="1"/>
  <c r="N88" i="5" a="1"/>
  <c r="N88" i="5"/>
  <c r="N89" i="5" a="1"/>
  <c r="N89" i="5" s="1"/>
  <c r="N90" i="5" a="1"/>
  <c r="N90" i="5"/>
  <c r="N91" i="5" a="1"/>
  <c r="N91" i="5"/>
  <c r="N92" i="5" a="1"/>
  <c r="N92" i="5" s="1"/>
  <c r="N93" i="5" a="1"/>
  <c r="N93" i="5" s="1"/>
  <c r="N94" i="5" a="1"/>
  <c r="N94" i="5" s="1"/>
  <c r="N95" i="5" a="1"/>
  <c r="N95" i="5" s="1"/>
  <c r="N96" i="5" a="1"/>
  <c r="N96" i="5" s="1"/>
  <c r="N97" i="5" a="1"/>
  <c r="N97" i="5" s="1"/>
  <c r="N98" i="5" a="1"/>
  <c r="N98" i="5"/>
  <c r="N99" i="5" a="1"/>
  <c r="N99" i="5" s="1"/>
  <c r="N100" i="5" a="1"/>
  <c r="N100" i="5" s="1"/>
  <c r="N101" i="5" a="1"/>
  <c r="N101" i="5" s="1"/>
  <c r="N102" i="5" a="1"/>
  <c r="N102" i="5" s="1"/>
  <c r="N103" i="5" a="1"/>
  <c r="N103" i="5" s="1"/>
  <c r="N104" i="5" a="1"/>
  <c r="N104" i="5" s="1"/>
  <c r="N105" i="5" a="1"/>
  <c r="N105" i="5" s="1"/>
  <c r="N106" i="5" a="1"/>
  <c r="N106" i="5" s="1"/>
  <c r="N107" i="5" a="1"/>
  <c r="N107" i="5" s="1"/>
  <c r="N108" i="5" a="1"/>
  <c r="N108" i="5"/>
  <c r="N109" i="5" a="1"/>
  <c r="N109" i="5"/>
  <c r="N110" i="5" a="1"/>
  <c r="N110" i="5" s="1"/>
  <c r="N111" i="5" a="1"/>
  <c r="N111" i="5" s="1"/>
  <c r="N112" i="5" a="1"/>
  <c r="N112" i="5" s="1"/>
  <c r="N113" i="5" a="1"/>
  <c r="N113" i="5" s="1"/>
  <c r="N114" i="5" a="1"/>
  <c r="N114" i="5" s="1"/>
  <c r="N115" i="5" a="1"/>
  <c r="N115" i="5"/>
  <c r="N116" i="5" a="1"/>
  <c r="N116" i="5" s="1"/>
  <c r="N117" i="5" a="1"/>
  <c r="N117" i="5"/>
  <c r="N118" i="5" a="1"/>
  <c r="N118" i="5" s="1"/>
  <c r="N119" i="5" a="1"/>
  <c r="N119" i="5" s="1"/>
  <c r="N120" i="5" a="1"/>
  <c r="N120" i="5" s="1"/>
  <c r="N121" i="5" a="1"/>
  <c r="N121" i="5" s="1"/>
  <c r="N122" i="5" a="1"/>
  <c r="N122" i="5" s="1"/>
  <c r="N123" i="5" a="1"/>
  <c r="N123" i="5" s="1"/>
  <c r="N124" i="5" a="1"/>
  <c r="N124" i="5" s="1"/>
  <c r="N125" i="5" a="1"/>
  <c r="N125" i="5" s="1"/>
  <c r="N126" i="5" a="1"/>
  <c r="N126" i="5" s="1"/>
  <c r="N127" i="5" a="1"/>
  <c r="N127" i="5" s="1"/>
  <c r="N128" i="5" a="1"/>
  <c r="N128" i="5"/>
  <c r="N129" i="5" a="1"/>
  <c r="N129" i="5" s="1"/>
  <c r="N130" i="5" a="1"/>
  <c r="N130" i="5" s="1"/>
  <c r="N131" i="5" a="1"/>
  <c r="N131" i="5" s="1"/>
  <c r="N132" i="5" a="1"/>
  <c r="N132" i="5"/>
  <c r="N133" i="5" a="1"/>
  <c r="N133" i="5" s="1"/>
  <c r="N134" i="5" a="1"/>
  <c r="N134" i="5" s="1"/>
  <c r="N135" i="5" a="1"/>
  <c r="N135" i="5" s="1"/>
  <c r="N136" i="5" a="1"/>
  <c r="N136" i="5" s="1"/>
  <c r="N137" i="5" a="1"/>
  <c r="N137" i="5" s="1"/>
  <c r="N138" i="5" a="1"/>
  <c r="N138" i="5"/>
  <c r="N139" i="5" a="1"/>
  <c r="N139" i="5"/>
  <c r="N140" i="5" a="1"/>
  <c r="N140" i="5"/>
  <c r="N141" i="5" a="1"/>
  <c r="N141" i="5" s="1"/>
  <c r="N142" i="5" a="1"/>
  <c r="N142" i="5" s="1"/>
  <c r="N143" i="5" a="1"/>
  <c r="N143" i="5" s="1"/>
  <c r="N144" i="5" a="1"/>
  <c r="N144" i="5" s="1"/>
  <c r="N145" i="5" a="1"/>
  <c r="N145" i="5" s="1"/>
  <c r="N146" i="5" a="1"/>
  <c r="N146" i="5" s="1"/>
  <c r="N147" i="5" a="1"/>
  <c r="N147" i="5"/>
  <c r="N148" i="5" a="1"/>
  <c r="N148" i="5" s="1"/>
  <c r="N149" i="5" a="1"/>
  <c r="N149" i="5" s="1"/>
  <c r="N150" i="5" a="1"/>
  <c r="N150" i="5" s="1"/>
  <c r="N151" i="5" a="1"/>
  <c r="N151" i="5" s="1"/>
  <c r="N152" i="5" a="1"/>
  <c r="N152" i="5"/>
  <c r="N153" i="5" a="1"/>
  <c r="N153" i="5" s="1"/>
  <c r="N154" i="5" a="1"/>
  <c r="N154" i="5" s="1"/>
  <c r="N155" i="5" a="1"/>
  <c r="N155" i="5" s="1"/>
  <c r="N156" i="5" a="1"/>
  <c r="N156" i="5"/>
  <c r="N157" i="5" a="1"/>
  <c r="N157" i="5"/>
  <c r="N158" i="5" a="1"/>
  <c r="N158" i="5" s="1"/>
  <c r="N159" i="5" a="1"/>
  <c r="N159" i="5" s="1"/>
  <c r="N160" i="5" a="1"/>
  <c r="N160" i="5"/>
  <c r="N161" i="5" a="1"/>
  <c r="N161" i="5" s="1"/>
  <c r="N162" i="5" a="1"/>
  <c r="N162" i="5"/>
  <c r="N163" i="5" a="1"/>
  <c r="N163" i="5" s="1"/>
  <c r="N164" i="5" a="1"/>
  <c r="N164" i="5"/>
  <c r="N165" i="5" a="1"/>
  <c r="N165" i="5" s="1"/>
  <c r="N166" i="5" a="1"/>
  <c r="N166" i="5" s="1"/>
  <c r="N167" i="5" a="1"/>
  <c r="N167" i="5" s="1"/>
  <c r="N168" i="5" a="1"/>
  <c r="N168" i="5" s="1"/>
  <c r="N169" i="5" a="1"/>
  <c r="N169" i="5" s="1"/>
  <c r="N170" i="5" a="1"/>
  <c r="N170" i="5"/>
  <c r="N171" i="5" a="1"/>
  <c r="N171" i="5" s="1"/>
  <c r="N172" i="5" a="1"/>
  <c r="N172" i="5" s="1"/>
  <c r="N173" i="5" a="1"/>
  <c r="N173" i="5" s="1"/>
  <c r="N174" i="5" a="1"/>
  <c r="N174" i="5" s="1"/>
  <c r="N175" i="5" a="1"/>
  <c r="N175" i="5" s="1"/>
  <c r="N176" i="5" a="1"/>
  <c r="N176" i="5"/>
  <c r="N177" i="5" a="1"/>
  <c r="N177" i="5" s="1"/>
  <c r="N178" i="5" a="1"/>
  <c r="N178" i="5" s="1"/>
  <c r="N179" i="5" a="1"/>
  <c r="N179" i="5" s="1"/>
  <c r="N180" i="5" a="1"/>
  <c r="N180" i="5" s="1"/>
  <c r="N181" i="5" a="1"/>
  <c r="N181" i="5"/>
  <c r="N182" i="5" a="1"/>
  <c r="N182" i="5" s="1"/>
  <c r="N183" i="5" a="1"/>
  <c r="N183" i="5" s="1"/>
  <c r="N184" i="5" a="1"/>
  <c r="N184" i="5"/>
  <c r="N185" i="5" a="1"/>
  <c r="N185" i="5" s="1"/>
  <c r="N186" i="5" a="1"/>
  <c r="N186" i="5" s="1"/>
  <c r="N187" i="5" a="1"/>
  <c r="N187" i="5"/>
  <c r="N188" i="5" a="1"/>
  <c r="N188" i="5"/>
  <c r="N189" i="5" a="1"/>
  <c r="N189" i="5"/>
  <c r="N190" i="5" a="1"/>
  <c r="N190" i="5" s="1"/>
  <c r="N191" i="5" a="1"/>
  <c r="N191" i="5" s="1"/>
  <c r="N192" i="5" a="1"/>
  <c r="N192" i="5" s="1"/>
  <c r="N193" i="5" a="1"/>
  <c r="N193" i="5" s="1"/>
  <c r="N194" i="5" a="1"/>
  <c r="N194" i="5"/>
  <c r="N195" i="5" a="1"/>
  <c r="N195" i="5" s="1"/>
  <c r="N196" i="5" a="1"/>
  <c r="N196" i="5"/>
  <c r="N197" i="5" a="1"/>
  <c r="N197" i="5" s="1"/>
  <c r="N198" i="5" a="1"/>
  <c r="N198" i="5" s="1"/>
  <c r="N199" i="5" a="1"/>
  <c r="N199" i="5" s="1"/>
  <c r="N200" i="5" a="1"/>
  <c r="N200" i="5" s="1"/>
  <c r="N201" i="5" a="1"/>
  <c r="N201" i="5" s="1"/>
  <c r="N202" i="5" a="1"/>
  <c r="N202" i="5" s="1"/>
  <c r="N203" i="5" a="1"/>
  <c r="N203" i="5" s="1"/>
  <c r="N204" i="5" a="1"/>
  <c r="N204" i="5" s="1"/>
  <c r="N205" i="5" a="1"/>
  <c r="N205" i="5" s="1"/>
  <c r="N206" i="5" a="1"/>
  <c r="N206" i="5" s="1"/>
  <c r="N207" i="5" a="1"/>
  <c r="N207" i="5" s="1"/>
  <c r="N208" i="5" a="1"/>
  <c r="N208" i="5"/>
  <c r="N209" i="5" a="1"/>
  <c r="N209" i="5" s="1"/>
  <c r="N210" i="5" a="1"/>
  <c r="N210" i="5" s="1"/>
  <c r="N211" i="5" a="1"/>
  <c r="N211" i="5"/>
  <c r="N212" i="5" a="1"/>
  <c r="N212" i="5" s="1"/>
  <c r="N213" i="5" a="1"/>
  <c r="N213" i="5"/>
  <c r="N214" i="5" a="1"/>
  <c r="N214" i="5" s="1"/>
  <c r="N215" i="5" a="1"/>
  <c r="N215" i="5" s="1"/>
  <c r="N216" i="5" a="1"/>
  <c r="N216" i="5"/>
  <c r="N217" i="5" a="1"/>
  <c r="N217" i="5" s="1"/>
  <c r="N218" i="5" a="1"/>
  <c r="N218" i="5"/>
  <c r="N219" i="5" a="1"/>
  <c r="N219" i="5"/>
  <c r="N220" i="5" a="1"/>
  <c r="N220" i="5" s="1"/>
  <c r="N221" i="5" a="1"/>
  <c r="N221" i="5" s="1"/>
  <c r="N222" i="5" a="1"/>
  <c r="N222" i="5" s="1"/>
  <c r="N223" i="5" a="1"/>
  <c r="N223" i="5" s="1"/>
  <c r="N224" i="5" a="1"/>
  <c r="N224" i="5" s="1"/>
  <c r="N225" i="5" a="1"/>
  <c r="N225" i="5" s="1"/>
  <c r="N226" i="5" a="1"/>
  <c r="N226" i="5"/>
  <c r="N227" i="5" a="1"/>
  <c r="N227" i="5" s="1"/>
  <c r="N228" i="5" a="1"/>
  <c r="N228" i="5"/>
  <c r="N229" i="5" a="1"/>
  <c r="N229" i="5" s="1"/>
  <c r="N230" i="5" a="1"/>
  <c r="N230" i="5" s="1"/>
  <c r="N231" i="5" a="1"/>
  <c r="N231" i="5" s="1"/>
  <c r="N232" i="5" a="1"/>
  <c r="N232" i="5" s="1"/>
  <c r="N233" i="5" a="1"/>
  <c r="N233" i="5" s="1"/>
  <c r="N234" i="5" a="1"/>
  <c r="N234" i="5" s="1"/>
  <c r="N235" i="5" a="1"/>
  <c r="N235" i="5" s="1"/>
  <c r="N236" i="5" a="1"/>
  <c r="N236" i="5"/>
  <c r="N237" i="5" a="1"/>
  <c r="N237" i="5"/>
  <c r="N238" i="5" a="1"/>
  <c r="N238" i="5" s="1"/>
  <c r="N239" i="5" a="1"/>
  <c r="N239" i="5" s="1"/>
  <c r="N240" i="5" a="1"/>
  <c r="N240" i="5" s="1"/>
  <c r="N241" i="5" a="1"/>
  <c r="N241" i="5" s="1"/>
  <c r="N242" i="5" a="1"/>
  <c r="N242" i="5" s="1"/>
  <c r="N243" i="5" a="1"/>
  <c r="N243" i="5"/>
  <c r="N244" i="5" a="1"/>
  <c r="N244" i="5" s="1"/>
  <c r="N245" i="5" a="1"/>
  <c r="N245" i="5"/>
  <c r="N246" i="5" a="1"/>
  <c r="N246" i="5" s="1"/>
  <c r="N247" i="5" a="1"/>
  <c r="N247" i="5" s="1"/>
  <c r="N248" i="5" a="1"/>
  <c r="N248" i="5"/>
  <c r="N249" i="5" a="1"/>
  <c r="N249" i="5" s="1"/>
  <c r="N250" i="5" a="1"/>
  <c r="N250" i="5" s="1"/>
  <c r="N251" i="5" a="1"/>
  <c r="N251" i="5" s="1"/>
  <c r="N252" i="5" a="1"/>
  <c r="N252" i="5" s="1"/>
  <c r="N253" i="5" a="1"/>
  <c r="N253" i="5" s="1"/>
  <c r="N254" i="5" a="1"/>
  <c r="N254" i="5" s="1"/>
  <c r="N255" i="5" a="1"/>
  <c r="N255" i="5" s="1"/>
  <c r="N256" i="5" a="1"/>
  <c r="N256" i="5"/>
  <c r="N257" i="5" a="1"/>
  <c r="N257" i="5" s="1"/>
  <c r="N258" i="5" a="1"/>
  <c r="N258" i="5" s="1"/>
  <c r="N259" i="5" a="1"/>
  <c r="N259" i="5" s="1"/>
  <c r="N260" i="5" a="1"/>
  <c r="N260" i="5"/>
  <c r="N261" i="5" a="1"/>
  <c r="N261" i="5" s="1"/>
  <c r="N262" i="5" a="1"/>
  <c r="N262" i="5" s="1"/>
  <c r="N263" i="5" a="1"/>
  <c r="N263" i="5" s="1"/>
  <c r="N264" i="5" a="1"/>
  <c r="N264" i="5" s="1"/>
  <c r="N265" i="5" a="1"/>
  <c r="N265" i="5" s="1"/>
  <c r="N266" i="5" a="1"/>
  <c r="N266" i="5"/>
  <c r="N267" i="5" a="1"/>
  <c r="N267" i="5"/>
  <c r="N268" i="5" a="1"/>
  <c r="N268" i="5"/>
  <c r="N269" i="5" a="1"/>
  <c r="N269" i="5" s="1"/>
  <c r="N270" i="5" a="1"/>
  <c r="N270" i="5" s="1"/>
  <c r="N271" i="5" a="1"/>
  <c r="N271" i="5" s="1"/>
  <c r="N272" i="5" a="1"/>
  <c r="N272" i="5" s="1"/>
  <c r="N273" i="5" a="1"/>
  <c r="N273" i="5" s="1"/>
  <c r="N274" i="5" a="1"/>
  <c r="N274" i="5" s="1"/>
  <c r="N275" i="5" a="1"/>
  <c r="N275" i="5"/>
  <c r="N276" i="5" a="1"/>
  <c r="N276" i="5" s="1"/>
  <c r="N277" i="5" a="1"/>
  <c r="N277" i="5" s="1"/>
  <c r="N278" i="5" a="1"/>
  <c r="N278" i="5" s="1"/>
  <c r="N279" i="5" a="1"/>
  <c r="N279" i="5" s="1"/>
  <c r="N280" i="5" a="1"/>
  <c r="N280" i="5"/>
  <c r="N281" i="5" a="1"/>
  <c r="N281" i="5" s="1"/>
  <c r="N282" i="5" a="1"/>
  <c r="N282" i="5" s="1"/>
  <c r="N283" i="5" a="1"/>
  <c r="N283" i="5" s="1"/>
  <c r="N284" i="5" a="1"/>
  <c r="N284" i="5"/>
  <c r="N285" i="5" a="1"/>
  <c r="N285" i="5"/>
  <c r="N286" i="5" a="1"/>
  <c r="N286" i="5" s="1"/>
  <c r="N287" i="5" a="1"/>
  <c r="N287" i="5" s="1"/>
  <c r="N288" i="5" a="1"/>
  <c r="N288" i="5"/>
  <c r="N289" i="5" a="1"/>
  <c r="N289" i="5" s="1"/>
  <c r="N290" i="5" a="1"/>
  <c r="N290" i="5"/>
  <c r="N291" i="5" a="1"/>
  <c r="N291" i="5" s="1"/>
  <c r="N292" i="5" a="1"/>
  <c r="N292" i="5"/>
  <c r="N293" i="5" a="1"/>
  <c r="N293" i="5" s="1"/>
  <c r="N294" i="5" a="1"/>
  <c r="N294" i="5" s="1"/>
  <c r="N295" i="5" a="1"/>
  <c r="N295" i="5" s="1"/>
  <c r="N296" i="5" a="1"/>
  <c r="N296" i="5" s="1"/>
  <c r="N297" i="5" a="1"/>
  <c r="N297" i="5" s="1"/>
  <c r="N298" i="5" a="1"/>
  <c r="N298" i="5"/>
  <c r="N299" i="5" a="1"/>
  <c r="N299" i="5" s="1"/>
  <c r="N300" i="5" a="1"/>
  <c r="N300" i="5" s="1"/>
  <c r="N301" i="5" a="1"/>
  <c r="N301" i="5" s="1"/>
  <c r="N302" i="5" a="1"/>
  <c r="N302" i="5" s="1"/>
  <c r="N303" i="5" a="1"/>
  <c r="N303" i="5" s="1"/>
  <c r="N304" i="5" a="1"/>
  <c r="N304" i="5"/>
  <c r="N305" i="5" a="1"/>
  <c r="N305" i="5" s="1"/>
  <c r="N306" i="5" a="1"/>
  <c r="N306" i="5" s="1"/>
  <c r="N307" i="5" a="1"/>
  <c r="N307" i="5" s="1"/>
  <c r="N308" i="5" a="1"/>
  <c r="N308" i="5" s="1"/>
  <c r="N309" i="5" a="1"/>
  <c r="N309" i="5"/>
  <c r="N310" i="5" a="1"/>
  <c r="N310" i="5" s="1"/>
  <c r="N311" i="5" a="1"/>
  <c r="N311" i="5" s="1"/>
  <c r="N312" i="5" a="1"/>
  <c r="N312" i="5"/>
  <c r="N313" i="5" a="1"/>
  <c r="N313" i="5" s="1"/>
  <c r="N314" i="5" a="1"/>
  <c r="N314" i="5" s="1"/>
  <c r="N315" i="5" a="1"/>
  <c r="N315" i="5"/>
  <c r="N316" i="5" a="1"/>
  <c r="N316" i="5"/>
  <c r="N317" i="5" a="1"/>
  <c r="N317" i="5"/>
  <c r="N318" i="5" a="1"/>
  <c r="N318" i="5" s="1"/>
  <c r="N319" i="5" a="1"/>
  <c r="N319" i="5" s="1"/>
  <c r="N320" i="5" a="1"/>
  <c r="N320" i="5" s="1"/>
  <c r="N321" i="5" a="1"/>
  <c r="N321" i="5" s="1"/>
  <c r="N322" i="5" a="1"/>
  <c r="N322" i="5"/>
  <c r="N323" i="5" a="1"/>
  <c r="N323" i="5" s="1"/>
  <c r="N324" i="5" a="1"/>
  <c r="N324" i="5"/>
  <c r="N325" i="5" a="1"/>
  <c r="N325" i="5" s="1"/>
  <c r="N326" i="5" a="1"/>
  <c r="N326" i="5" s="1"/>
  <c r="N327" i="5" a="1"/>
  <c r="N327" i="5" s="1"/>
  <c r="N328" i="5" a="1"/>
  <c r="N328" i="5" s="1"/>
  <c r="N329" i="5" a="1"/>
  <c r="N329" i="5" s="1"/>
  <c r="N330" i="5" a="1"/>
  <c r="N330" i="5" s="1"/>
  <c r="N331" i="5" a="1"/>
  <c r="N331" i="5" s="1"/>
  <c r="N332" i="5" a="1"/>
  <c r="N332" i="5"/>
  <c r="N333" i="5" a="1"/>
  <c r="N333" i="5"/>
  <c r="N334" i="5" a="1"/>
  <c r="N334" i="5" s="1"/>
  <c r="N335" i="5" a="1"/>
  <c r="N335" i="5" s="1"/>
  <c r="N336" i="5" a="1"/>
  <c r="N336" i="5"/>
  <c r="N337" i="5" a="1"/>
  <c r="N337" i="5" s="1"/>
  <c r="N338" i="5" a="1"/>
  <c r="N338" i="5" s="1"/>
  <c r="N339" i="5" a="1"/>
  <c r="N339" i="5"/>
  <c r="N340" i="5" a="1"/>
  <c r="N340" i="5" s="1"/>
  <c r="N341" i="5" a="1"/>
  <c r="N341" i="5"/>
  <c r="N342" i="5" a="1"/>
  <c r="N342" i="5" s="1"/>
  <c r="N343" i="5" a="1"/>
  <c r="N343" i="5" s="1"/>
  <c r="N344" i="5" a="1"/>
  <c r="N344" i="5"/>
  <c r="N345" i="5" a="1"/>
  <c r="N345" i="5" s="1"/>
  <c r="N346" i="5" a="1"/>
  <c r="N346" i="5"/>
  <c r="N347" i="5" a="1"/>
  <c r="N347" i="5"/>
  <c r="N348" i="5" a="1"/>
  <c r="N348" i="5" s="1"/>
  <c r="N349" i="5" a="1"/>
  <c r="N349" i="5" s="1"/>
  <c r="N350" i="5" a="1"/>
  <c r="N350" i="5" s="1"/>
  <c r="N351" i="5" a="1"/>
  <c r="N351" i="5" s="1"/>
  <c r="N352" i="5" a="1"/>
  <c r="N352" i="5"/>
  <c r="N353" i="5" a="1"/>
  <c r="N353" i="5" s="1"/>
  <c r="N354" i="5" a="1"/>
  <c r="N354" i="5"/>
  <c r="N355" i="5" a="1"/>
  <c r="N355" i="5" s="1"/>
  <c r="N356" i="5" a="1"/>
  <c r="N356" i="5"/>
  <c r="N357" i="5" a="1"/>
  <c r="N357" i="5" s="1"/>
  <c r="N358" i="5" a="1"/>
  <c r="N358" i="5" s="1"/>
  <c r="N359" i="5" a="1"/>
  <c r="N359" i="5" s="1"/>
  <c r="N360" i="5" a="1"/>
  <c r="N360" i="5" s="1"/>
  <c r="N361" i="5" a="1"/>
  <c r="N361" i="5" s="1"/>
  <c r="N362" i="5" a="1"/>
  <c r="N362" i="5" s="1"/>
  <c r="N363" i="5" a="1"/>
  <c r="N363" i="5" s="1"/>
  <c r="N364" i="5" a="1"/>
  <c r="N364" i="5"/>
  <c r="N365" i="5" a="1"/>
  <c r="N365" i="5"/>
  <c r="N366" i="5" a="1"/>
  <c r="N366" i="5" s="1"/>
  <c r="N367" i="5" a="1"/>
  <c r="N367" i="5" s="1"/>
  <c r="N368" i="5" a="1"/>
  <c r="N368" i="5" s="1"/>
  <c r="N369" i="5" a="1"/>
  <c r="N369" i="5" s="1"/>
  <c r="N370" i="5" a="1"/>
  <c r="N370" i="5" s="1"/>
  <c r="N371" i="5" a="1"/>
  <c r="N371" i="5"/>
  <c r="N372" i="5" a="1"/>
  <c r="N372" i="5" s="1"/>
  <c r="N373" i="5" a="1"/>
  <c r="N373" i="5"/>
  <c r="N374" i="5" a="1"/>
  <c r="N374" i="5" s="1"/>
  <c r="N375" i="5" a="1"/>
  <c r="N375" i="5" s="1"/>
  <c r="N376" i="5" a="1"/>
  <c r="N376" i="5"/>
  <c r="N377" i="5" a="1"/>
  <c r="N377" i="5" s="1"/>
  <c r="N378" i="5" a="1"/>
  <c r="N378" i="5" s="1"/>
  <c r="N379" i="5" a="1"/>
  <c r="N379" i="5" s="1"/>
  <c r="N380" i="5" a="1"/>
  <c r="N380" i="5" s="1"/>
  <c r="N381" i="5" a="1"/>
  <c r="N381" i="5" s="1"/>
  <c r="N382" i="5" a="1"/>
  <c r="N382" i="5" s="1"/>
  <c r="N383" i="5" a="1"/>
  <c r="N383" i="5" s="1"/>
  <c r="N384" i="5" a="1"/>
  <c r="N384" i="5"/>
  <c r="N385" i="5" a="1"/>
  <c r="N385" i="5" s="1"/>
  <c r="N386" i="5" a="1"/>
  <c r="N386" i="5" s="1"/>
  <c r="N387" i="5" a="1"/>
  <c r="N387" i="5" s="1"/>
  <c r="N388" i="5" a="1"/>
  <c r="N388" i="5"/>
  <c r="N389" i="5" a="1"/>
  <c r="N389" i="5" s="1"/>
  <c r="N390" i="5" a="1"/>
  <c r="N390" i="5" s="1"/>
  <c r="N391" i="5" a="1"/>
  <c r="N391" i="5" s="1"/>
  <c r="N392" i="5" a="1"/>
  <c r="N392" i="5" s="1"/>
  <c r="N393" i="5" a="1"/>
  <c r="N393" i="5" s="1"/>
  <c r="N394" i="5" a="1"/>
  <c r="N394" i="5"/>
  <c r="N395" i="5" a="1"/>
  <c r="N395" i="5"/>
  <c r="N396" i="5" a="1"/>
  <c r="N396" i="5"/>
  <c r="N397" i="5" a="1"/>
  <c r="N397" i="5" s="1"/>
  <c r="N398" i="5" a="1"/>
  <c r="N398" i="5" s="1"/>
  <c r="N399" i="5" a="1"/>
  <c r="N399" i="5" s="1"/>
  <c r="N400" i="5" a="1"/>
  <c r="N400" i="5" s="1"/>
  <c r="N401" i="5" a="1"/>
  <c r="N401" i="5" s="1"/>
  <c r="N402" i="5" a="1"/>
  <c r="N402" i="5" s="1"/>
  <c r="N403" i="5" a="1"/>
  <c r="N403" i="5"/>
  <c r="N404" i="5" a="1"/>
  <c r="N404" i="5" s="1"/>
  <c r="N405" i="5" a="1"/>
  <c r="N405" i="5"/>
  <c r="N406" i="5" a="1"/>
  <c r="N406" i="5" s="1"/>
  <c r="N407" i="5" a="1"/>
  <c r="N407" i="5" s="1"/>
  <c r="N408" i="5" a="1"/>
  <c r="N408" i="5"/>
  <c r="N409" i="5" a="1"/>
  <c r="N409" i="5" s="1"/>
  <c r="N410" i="5" a="1"/>
  <c r="N410" i="5" s="1"/>
  <c r="N411" i="5" a="1"/>
  <c r="N411" i="5" s="1"/>
  <c r="N412" i="5" a="1"/>
  <c r="N412" i="5"/>
  <c r="N413" i="5" a="1"/>
  <c r="N413" i="5"/>
  <c r="N414" i="5" a="1"/>
  <c r="N414" i="5" s="1"/>
  <c r="N415" i="5" a="1"/>
  <c r="N415" i="5" s="1"/>
  <c r="N416" i="5" a="1"/>
  <c r="N416" i="5"/>
  <c r="N417" i="5" a="1"/>
  <c r="N417" i="5" s="1"/>
  <c r="N418" i="5" a="1"/>
  <c r="N418" i="5"/>
  <c r="N419" i="5" a="1"/>
  <c r="N419" i="5" s="1"/>
  <c r="N420" i="5" a="1"/>
  <c r="N420" i="5"/>
  <c r="N421" i="5" a="1"/>
  <c r="N421" i="5" s="1"/>
  <c r="N422" i="5" a="1"/>
  <c r="N422" i="5" s="1"/>
  <c r="N423" i="5" a="1"/>
  <c r="N423" i="5" s="1"/>
  <c r="N424" i="5" a="1"/>
  <c r="N424" i="5" s="1"/>
  <c r="N425" i="5" a="1"/>
  <c r="N425" i="5" s="1"/>
  <c r="N426" i="5" a="1"/>
  <c r="N426" i="5"/>
  <c r="N427" i="5" a="1"/>
  <c r="N427" i="5" s="1"/>
  <c r="N428" i="5" a="1"/>
  <c r="N428" i="5" s="1"/>
  <c r="N429" i="5" a="1"/>
  <c r="N429" i="5" s="1"/>
  <c r="N430" i="5" a="1"/>
  <c r="N430" i="5" s="1"/>
  <c r="N431" i="5" a="1"/>
  <c r="N431" i="5" s="1"/>
  <c r="N432" i="5" a="1"/>
  <c r="N432" i="5"/>
  <c r="N433" i="5" a="1"/>
  <c r="N433" i="5" s="1"/>
  <c r="N434" i="5" a="1"/>
  <c r="N434" i="5" s="1"/>
  <c r="N435" i="5" a="1"/>
  <c r="N435" i="5" s="1"/>
  <c r="N436" i="5" a="1"/>
  <c r="N436" i="5" s="1"/>
  <c r="N437" i="5" a="1"/>
  <c r="N437" i="5"/>
  <c r="N438" i="5" a="1"/>
  <c r="N438" i="5" s="1"/>
  <c r="N439" i="5" a="1"/>
  <c r="N439" i="5" s="1"/>
  <c r="N440" i="5" a="1"/>
  <c r="N440" i="5"/>
  <c r="N441" i="5" a="1"/>
  <c r="N441" i="5" s="1"/>
  <c r="N442" i="5" a="1"/>
  <c r="N442" i="5"/>
  <c r="N443" i="5" a="1"/>
  <c r="N443" i="5"/>
  <c r="N444" i="5" a="1"/>
  <c r="N444" i="5"/>
  <c r="N445" i="5" a="1"/>
  <c r="N445" i="5"/>
  <c r="N446" i="5" a="1"/>
  <c r="N446" i="5" s="1"/>
  <c r="N447" i="5" a="1"/>
  <c r="N447" i="5" s="1"/>
  <c r="N448" i="5" a="1"/>
  <c r="N448" i="5" s="1"/>
  <c r="N449" i="5" a="1"/>
  <c r="N449" i="5" s="1"/>
  <c r="N450" i="5" a="1"/>
  <c r="N450" i="5"/>
  <c r="N451" i="5" a="1"/>
  <c r="N451" i="5" s="1"/>
  <c r="N452" i="5" a="1"/>
  <c r="N452" i="5"/>
  <c r="N453" i="5" a="1"/>
  <c r="N453" i="5" s="1"/>
  <c r="N454" i="5" a="1"/>
  <c r="N454" i="5" s="1"/>
  <c r="N455" i="5" a="1"/>
  <c r="N455" i="5" s="1"/>
  <c r="N456" i="5" a="1"/>
  <c r="N456" i="5" s="1"/>
  <c r="N457" i="5" a="1"/>
  <c r="N457" i="5" s="1"/>
  <c r="N458" i="5" a="1"/>
  <c r="N458" i="5" s="1"/>
  <c r="N459" i="5" a="1"/>
  <c r="N459" i="5" s="1"/>
  <c r="N460" i="5" a="1"/>
  <c r="N460" i="5"/>
  <c r="N461" i="5" a="1"/>
  <c r="N461" i="5" s="1"/>
  <c r="N462" i="5" a="1"/>
  <c r="N462" i="5" s="1"/>
  <c r="N463" i="5" a="1"/>
  <c r="N463" i="5" s="1"/>
  <c r="N464" i="5" a="1"/>
  <c r="N464" i="5"/>
  <c r="N465" i="5" a="1"/>
  <c r="N465" i="5" s="1"/>
  <c r="N466" i="5" a="1"/>
  <c r="N466" i="5" s="1"/>
  <c r="N467" i="5" a="1"/>
  <c r="N467" i="5"/>
  <c r="N468" i="5" a="1"/>
  <c r="N468" i="5" s="1"/>
  <c r="N469" i="5" a="1"/>
  <c r="N469" i="5"/>
  <c r="N470" i="5" a="1"/>
  <c r="N470" i="5" s="1"/>
  <c r="N471" i="5" a="1"/>
  <c r="N471" i="5" s="1"/>
  <c r="N472" i="5" a="1"/>
  <c r="N472" i="5"/>
  <c r="N473" i="5" a="1"/>
  <c r="N473" i="5" s="1"/>
  <c r="N474" i="5" a="1"/>
  <c r="N474" i="5"/>
  <c r="N475" i="5" a="1"/>
  <c r="N475" i="5" s="1"/>
  <c r="N476" i="5" a="1"/>
  <c r="N476" i="5"/>
  <c r="N477" i="5" a="1"/>
  <c r="N477" i="5" s="1"/>
  <c r="N478" i="5" a="1"/>
  <c r="N478" i="5" s="1"/>
  <c r="N479" i="5" a="1"/>
  <c r="N479" i="5"/>
  <c r="N480" i="5" a="1"/>
  <c r="N480" i="5" s="1"/>
  <c r="N481" i="5" a="1"/>
  <c r="N481" i="5" s="1"/>
  <c r="N482" i="5" a="1"/>
  <c r="N482" i="5" s="1"/>
  <c r="N483" i="5" a="1"/>
  <c r="N483" i="5"/>
  <c r="N484" i="5" a="1"/>
  <c r="N484" i="5" s="1"/>
  <c r="N485" i="5" a="1"/>
  <c r="N485" i="5"/>
  <c r="N486" i="5" a="1"/>
  <c r="N486" i="5" s="1"/>
  <c r="N487" i="5" a="1"/>
  <c r="N487" i="5" s="1"/>
  <c r="N488" i="5" a="1"/>
  <c r="N488" i="5"/>
  <c r="N489" i="5" a="1"/>
  <c r="N489" i="5" s="1"/>
  <c r="N490" i="5" a="1"/>
  <c r="N490" i="5"/>
  <c r="N491" i="5" a="1"/>
  <c r="N491" i="5" s="1"/>
  <c r="N492" i="5" a="1"/>
  <c r="N492" i="5" s="1"/>
  <c r="N493" i="5" a="1"/>
  <c r="N493" i="5" s="1"/>
  <c r="N494" i="5" a="1"/>
  <c r="N494" i="5" s="1"/>
  <c r="N495" i="5" a="1"/>
  <c r="N495" i="5" s="1"/>
  <c r="N496" i="5" a="1"/>
  <c r="N496" i="5" s="1"/>
  <c r="N497" i="5" a="1"/>
  <c r="N497" i="5" s="1"/>
  <c r="N498" i="5" a="1"/>
  <c r="N498" i="5" s="1"/>
  <c r="N499" i="5" a="1"/>
  <c r="N499" i="5"/>
  <c r="N500" i="5" a="1"/>
  <c r="N500" i="5" s="1"/>
  <c r="N501" i="5" a="1"/>
  <c r="N501" i="5" s="1"/>
  <c r="N502" i="5" a="1"/>
  <c r="N502" i="5" s="1"/>
  <c r="N503" i="5" a="1"/>
  <c r="N503" i="5" s="1"/>
  <c r="N504" i="5" a="1"/>
  <c r="N504" i="5" s="1"/>
  <c r="N505" i="5" a="1"/>
  <c r="N505" i="5" s="1"/>
  <c r="N506" i="5" a="1"/>
  <c r="N506" i="5"/>
  <c r="N507" i="5" a="1"/>
  <c r="N507" i="5" s="1"/>
  <c r="N508" i="5" a="1"/>
  <c r="N508" i="5"/>
  <c r="N509" i="5" a="1"/>
  <c r="N509" i="5" s="1"/>
  <c r="N510" i="5" a="1"/>
  <c r="N510" i="5" s="1"/>
  <c r="N511" i="5" a="1"/>
  <c r="N511" i="5"/>
  <c r="N512" i="5" a="1"/>
  <c r="N512" i="5" s="1"/>
  <c r="N513" i="5" a="1"/>
  <c r="N513" i="5" s="1"/>
  <c r="N514" i="5" a="1"/>
  <c r="N514" i="5" s="1"/>
  <c r="N515" i="5" a="1"/>
  <c r="N515" i="5"/>
  <c r="N516" i="5" a="1"/>
  <c r="N516" i="5" s="1"/>
  <c r="N517" i="5" a="1"/>
  <c r="N517" i="5"/>
  <c r="N518" i="5" a="1"/>
  <c r="N518" i="5" s="1"/>
  <c r="N519" i="5" a="1"/>
  <c r="N519" i="5"/>
  <c r="N520" i="5" a="1"/>
  <c r="N520" i="5"/>
  <c r="N521" i="5" a="1"/>
  <c r="N521" i="5" s="1"/>
  <c r="N522" i="5" a="1"/>
  <c r="N522" i="5"/>
  <c r="N523" i="5" a="1"/>
  <c r="N523" i="5" s="1"/>
  <c r="N524" i="5" a="1"/>
  <c r="N524" i="5"/>
  <c r="N525" i="5" a="1"/>
  <c r="N525" i="5" s="1"/>
  <c r="N526" i="5" a="1"/>
  <c r="N526" i="5" s="1"/>
  <c r="N527" i="5" a="1"/>
  <c r="N527" i="5"/>
  <c r="N528" i="5" a="1"/>
  <c r="N528" i="5"/>
  <c r="N529" i="5" a="1"/>
  <c r="N529" i="5" s="1"/>
  <c r="N530" i="5" a="1"/>
  <c r="N530" i="5" s="1"/>
  <c r="N531" i="5" a="1"/>
  <c r="N531" i="5"/>
  <c r="N532" i="5" a="1"/>
  <c r="N532" i="5" s="1"/>
  <c r="N533" i="5" a="1"/>
  <c r="N533" i="5"/>
  <c r="N534" i="5" a="1"/>
  <c r="N534" i="5" s="1"/>
  <c r="N535" i="5" a="1"/>
  <c r="N535" i="5"/>
  <c r="N536" i="5" a="1"/>
  <c r="N536" i="5"/>
  <c r="N537" i="5" a="1"/>
  <c r="N537" i="5" s="1"/>
  <c r="N538" i="5" a="1"/>
  <c r="N538" i="5" s="1"/>
  <c r="N539" i="5" a="1"/>
  <c r="N539" i="5" s="1"/>
  <c r="N540" i="5" a="1"/>
  <c r="N540" i="5"/>
  <c r="N541" i="5" a="1"/>
  <c r="N541" i="5" s="1"/>
  <c r="N542" i="5" a="1"/>
  <c r="N542" i="5" s="1"/>
  <c r="N543" i="5" a="1"/>
  <c r="N543" i="5"/>
  <c r="N544" i="5" a="1"/>
  <c r="N544" i="5"/>
  <c r="N545" i="5" a="1"/>
  <c r="N545" i="5" s="1"/>
  <c r="N546" i="5" a="1"/>
  <c r="N546" i="5" s="1"/>
  <c r="N547" i="5" a="1"/>
  <c r="N547" i="5" s="1"/>
  <c r="N548" i="5" a="1"/>
  <c r="N548" i="5" s="1"/>
  <c r="N549" i="5" a="1"/>
  <c r="N549" i="5"/>
  <c r="N550" i="5" a="1"/>
  <c r="N550" i="5" s="1"/>
  <c r="N551" i="5" a="1"/>
  <c r="N551" i="5" s="1"/>
  <c r="N552" i="5" a="1"/>
  <c r="N552" i="5"/>
  <c r="N553" i="5" a="1"/>
  <c r="N553" i="5" s="1"/>
  <c r="N554" i="5" a="1"/>
  <c r="N554" i="5"/>
  <c r="N555" i="5" a="1"/>
  <c r="N555" i="5" s="1"/>
  <c r="N556" i="5" a="1"/>
  <c r="N556" i="5" s="1"/>
  <c r="N557" i="5" a="1"/>
  <c r="N557" i="5" s="1"/>
  <c r="N558" i="5" a="1"/>
  <c r="N558" i="5" s="1"/>
  <c r="N559" i="5" a="1"/>
  <c r="N559" i="5" s="1"/>
  <c r="N560" i="5" a="1"/>
  <c r="N560" i="5" s="1"/>
  <c r="N561" i="5" a="1"/>
  <c r="N561" i="5" s="1"/>
  <c r="N562" i="5" a="1"/>
  <c r="N562" i="5" s="1"/>
  <c r="N563" i="5" a="1"/>
  <c r="N563" i="5"/>
  <c r="N564" i="5" a="1"/>
  <c r="N564" i="5" s="1"/>
  <c r="N565" i="5" a="1"/>
  <c r="N565" i="5" s="1"/>
  <c r="N566" i="5" a="1"/>
  <c r="N566" i="5" s="1"/>
  <c r="N567" i="5" a="1"/>
  <c r="N567" i="5" s="1"/>
  <c r="N568" i="5" a="1"/>
  <c r="N568" i="5" s="1"/>
  <c r="N569" i="5" a="1"/>
  <c r="N569" i="5" s="1"/>
  <c r="N570" i="5" a="1"/>
  <c r="N570" i="5"/>
  <c r="N571" i="5" a="1"/>
  <c r="N571" i="5" s="1"/>
  <c r="N572" i="5" a="1"/>
  <c r="N572" i="5"/>
  <c r="N573" i="5" a="1"/>
  <c r="N573" i="5" s="1"/>
  <c r="N574" i="5" a="1"/>
  <c r="N574" i="5" s="1"/>
  <c r="N575" i="5" a="1"/>
  <c r="N575" i="5"/>
  <c r="N576" i="5" a="1"/>
  <c r="N576" i="5" s="1"/>
  <c r="N577" i="5" a="1"/>
  <c r="N577" i="5" s="1"/>
  <c r="N578" i="5" a="1"/>
  <c r="N578" i="5" s="1"/>
  <c r="N579" i="5" a="1"/>
  <c r="N579" i="5"/>
  <c r="N580" i="5" a="1"/>
  <c r="N580" i="5" s="1"/>
  <c r="N581" i="5" a="1"/>
  <c r="N581" i="5"/>
  <c r="N582" i="5" a="1"/>
  <c r="N582" i="5" s="1"/>
  <c r="N583" i="5" a="1"/>
  <c r="N583" i="5"/>
  <c r="N584" i="5" a="1"/>
  <c r="N584" i="5"/>
  <c r="N585" i="5" a="1"/>
  <c r="N585" i="5" s="1"/>
  <c r="N586" i="5" a="1"/>
  <c r="N586" i="5"/>
  <c r="N587" i="5" a="1"/>
  <c r="N587" i="5" s="1"/>
  <c r="N588" i="5" a="1"/>
  <c r="N588" i="5"/>
  <c r="N589" i="5" a="1"/>
  <c r="N589" i="5" s="1"/>
  <c r="N590" i="5" a="1"/>
  <c r="N590" i="5" s="1"/>
  <c r="N591" i="5" a="1"/>
  <c r="N591" i="5"/>
  <c r="N592" i="5" a="1"/>
  <c r="N592" i="5"/>
  <c r="N593" i="5" a="1"/>
  <c r="N593" i="5" s="1"/>
  <c r="N594" i="5" a="1"/>
  <c r="N594" i="5" s="1"/>
  <c r="N595" i="5" a="1"/>
  <c r="N595" i="5"/>
  <c r="N596" i="5" a="1"/>
  <c r="N596" i="5" s="1"/>
  <c r="N597" i="5" a="1"/>
  <c r="N597" i="5"/>
  <c r="N598" i="5" a="1"/>
  <c r="N598" i="5" s="1"/>
  <c r="N599" i="5" a="1"/>
  <c r="N599" i="5"/>
  <c r="N600" i="5" a="1"/>
  <c r="N600" i="5"/>
  <c r="N601" i="5" a="1"/>
  <c r="N601" i="5" s="1"/>
  <c r="N602" i="5" a="1"/>
  <c r="N602" i="5" s="1"/>
  <c r="N603" i="5" a="1"/>
  <c r="N603" i="5" s="1"/>
  <c r="N604" i="5" a="1"/>
  <c r="N604" i="5"/>
  <c r="N605" i="5" a="1"/>
  <c r="N605" i="5" s="1"/>
  <c r="N606" i="5" a="1"/>
  <c r="N606" i="5" s="1"/>
  <c r="N607" i="5" a="1"/>
  <c r="N607" i="5"/>
  <c r="N608" i="5" a="1"/>
  <c r="N608" i="5"/>
  <c r="N609" i="5" a="1"/>
  <c r="N609" i="5" s="1"/>
  <c r="N610" i="5" a="1"/>
  <c r="N610" i="5" s="1"/>
  <c r="N611" i="5" a="1"/>
  <c r="N611" i="5" s="1"/>
  <c r="N612" i="5" a="1"/>
  <c r="N612" i="5" s="1"/>
  <c r="N613" i="5" a="1"/>
  <c r="N613" i="5"/>
  <c r="N614" i="5" a="1"/>
  <c r="N614" i="5" s="1"/>
  <c r="N615" i="5" a="1"/>
  <c r="N615" i="5"/>
  <c r="N616" i="5" a="1"/>
  <c r="N616" i="5"/>
  <c r="N617" i="5" a="1"/>
  <c r="N617" i="5" s="1"/>
  <c r="N618" i="5" a="1"/>
  <c r="N618" i="5"/>
  <c r="N619" i="5" a="1"/>
  <c r="N619" i="5" s="1"/>
  <c r="N620" i="5" a="1"/>
  <c r="N620" i="5" s="1"/>
  <c r="N621" i="5" a="1"/>
  <c r="N621" i="5" s="1"/>
  <c r="N622" i="5" a="1"/>
  <c r="N622" i="5" s="1"/>
  <c r="N623" i="5" a="1"/>
  <c r="N623" i="5"/>
  <c r="N624" i="5" a="1"/>
  <c r="N624" i="5" s="1"/>
  <c r="N625" i="5" a="1"/>
  <c r="N625" i="5" s="1"/>
  <c r="N626" i="5" a="1"/>
  <c r="N626" i="5" s="1"/>
  <c r="N627" i="5" a="1"/>
  <c r="N627" i="5"/>
  <c r="N628" i="5" a="1"/>
  <c r="N628" i="5" s="1"/>
  <c r="N629" i="5" a="1"/>
  <c r="N629" i="5" s="1"/>
  <c r="N630" i="5" a="1"/>
  <c r="N630" i="5" s="1"/>
  <c r="N631" i="5" a="1"/>
  <c r="N631" i="5" s="1"/>
  <c r="N632" i="5" a="1"/>
  <c r="N632" i="5"/>
  <c r="N633" i="5" a="1"/>
  <c r="N633" i="5" s="1"/>
  <c r="N634" i="5" a="1"/>
  <c r="N634" i="5"/>
  <c r="N635" i="5" a="1"/>
  <c r="N635" i="5" s="1"/>
  <c r="N636" i="5" a="1"/>
  <c r="N636" i="5"/>
  <c r="N637" i="5" a="1"/>
  <c r="N637" i="5" s="1"/>
  <c r="N638" i="5" a="1"/>
  <c r="N638" i="5" s="1"/>
  <c r="N639" i="5" a="1"/>
  <c r="N639" i="5"/>
  <c r="N640" i="5" a="1"/>
  <c r="N640" i="5" s="1"/>
  <c r="N641" i="5" a="1"/>
  <c r="N641" i="5" s="1"/>
  <c r="N642" i="5" a="1"/>
  <c r="N642" i="5" s="1"/>
  <c r="N643" i="5" a="1"/>
  <c r="N643" i="5"/>
  <c r="N644" i="5" a="1"/>
  <c r="N644" i="5" s="1"/>
  <c r="N645" i="5" a="1"/>
  <c r="N645" i="5"/>
  <c r="N646" i="5" a="1"/>
  <c r="N646" i="5" s="1"/>
  <c r="N647" i="5" a="1"/>
  <c r="N647" i="5"/>
  <c r="N648" i="5" a="1"/>
  <c r="N648" i="5"/>
  <c r="N649" i="5" a="1"/>
  <c r="N649" i="5" s="1"/>
  <c r="N650" i="5" a="1"/>
  <c r="N650" i="5"/>
  <c r="N651" i="5" a="1"/>
  <c r="N651" i="5" s="1"/>
  <c r="N652" i="5" a="1"/>
  <c r="N652" i="5"/>
  <c r="N653" i="5" a="1"/>
  <c r="N653" i="5" s="1"/>
  <c r="N654" i="5" a="1"/>
  <c r="N654" i="5" s="1"/>
  <c r="N655" i="5" a="1"/>
  <c r="N655" i="5"/>
  <c r="N656" i="5" a="1"/>
  <c r="N656" i="5"/>
  <c r="N657" i="5" a="1"/>
  <c r="N657" i="5" s="1"/>
  <c r="N658" i="5" a="1"/>
  <c r="N658" i="5" s="1"/>
  <c r="N659" i="5" a="1"/>
  <c r="N659" i="5"/>
  <c r="N660" i="5" a="1"/>
  <c r="N660" i="5" s="1"/>
  <c r="N661" i="5" a="1"/>
  <c r="N661" i="5"/>
  <c r="N662" i="5" a="1"/>
  <c r="N662" i="5" s="1"/>
  <c r="N663" i="5" a="1"/>
  <c r="N663" i="5"/>
  <c r="N664" i="5" a="1"/>
  <c r="N664" i="5"/>
  <c r="N665" i="5" a="1"/>
  <c r="N665" i="5" s="1"/>
  <c r="N666" i="5" a="1"/>
  <c r="N666" i="5" s="1"/>
  <c r="N667" i="5" a="1"/>
  <c r="N667" i="5" s="1"/>
  <c r="N668" i="5" a="1"/>
  <c r="N668" i="5"/>
  <c r="N669" i="5" a="1"/>
  <c r="N669" i="5" s="1"/>
  <c r="N670" i="5" a="1"/>
  <c r="N670" i="5" s="1"/>
  <c r="N671" i="5" a="1"/>
  <c r="N671" i="5"/>
  <c r="N672" i="5" a="1"/>
  <c r="N672" i="5"/>
  <c r="N673" i="5" a="1"/>
  <c r="N673" i="5" s="1"/>
  <c r="N674" i="5" a="1"/>
  <c r="N674" i="5" s="1"/>
  <c r="N675" i="5" a="1"/>
  <c r="N675" i="5" s="1"/>
  <c r="N676" i="5" a="1"/>
  <c r="N676" i="5" s="1"/>
  <c r="N677" i="5" a="1"/>
  <c r="N677" i="5"/>
  <c r="N678" i="5" a="1"/>
  <c r="N678" i="5" s="1"/>
  <c r="N679" i="5" a="1"/>
  <c r="N679" i="5"/>
  <c r="N680" i="5" a="1"/>
  <c r="N680" i="5"/>
  <c r="N681" i="5" a="1"/>
  <c r="N681" i="5" s="1"/>
  <c r="N682" i="5" a="1"/>
  <c r="N682" i="5"/>
  <c r="N683" i="5" a="1"/>
  <c r="N683" i="5" s="1"/>
  <c r="N684" i="5" a="1"/>
  <c r="N684" i="5" s="1"/>
  <c r="N685" i="5" a="1"/>
  <c r="N685" i="5" s="1"/>
  <c r="N686" i="5" a="1"/>
  <c r="N686" i="5"/>
  <c r="N687" i="5" a="1"/>
  <c r="N687" i="5" s="1"/>
  <c r="N688" i="5" a="1"/>
  <c r="N688" i="5"/>
  <c r="N689" i="5" a="1"/>
  <c r="N689" i="5" s="1"/>
  <c r="N690" i="5" a="1"/>
  <c r="N690" i="5"/>
  <c r="N691" i="5" a="1"/>
  <c r="N691" i="5" s="1"/>
  <c r="N692" i="5" a="1"/>
  <c r="N692" i="5" s="1"/>
  <c r="N693" i="5" a="1"/>
  <c r="N693" i="5" s="1"/>
  <c r="N694" i="5" a="1"/>
  <c r="N694" i="5"/>
  <c r="N695" i="5" a="1"/>
  <c r="N695" i="5" s="1"/>
  <c r="N696" i="5" a="1"/>
  <c r="N696" i="5"/>
  <c r="N697" i="5" a="1"/>
  <c r="N697" i="5" s="1"/>
  <c r="N698" i="5" a="1"/>
  <c r="N698" i="5"/>
  <c r="N699" i="5" a="1"/>
  <c r="N699" i="5" s="1"/>
  <c r="N700" i="5" a="1"/>
  <c r="N700" i="5" s="1"/>
  <c r="N701" i="5" a="1"/>
  <c r="N701" i="5" s="1"/>
  <c r="N702" i="5" a="1"/>
  <c r="N702" i="5"/>
  <c r="N703" i="5" a="1"/>
  <c r="N703" i="5" s="1"/>
  <c r="N704" i="5" a="1"/>
  <c r="N704" i="5"/>
  <c r="N705" i="5" a="1"/>
  <c r="N705" i="5" s="1"/>
  <c r="N706" i="5" a="1"/>
  <c r="N706" i="5"/>
  <c r="N707" i="5" a="1"/>
  <c r="N707" i="5" s="1"/>
  <c r="N708" i="5" a="1"/>
  <c r="N708" i="5" s="1"/>
  <c r="N709" i="5" a="1"/>
  <c r="N709" i="5" s="1"/>
  <c r="N710" i="5" a="1"/>
  <c r="N710" i="5"/>
  <c r="N711" i="5" a="1"/>
  <c r="N711" i="5" s="1"/>
  <c r="N712" i="5" a="1"/>
  <c r="N712" i="5"/>
  <c r="N713" i="5" a="1"/>
  <c r="N713" i="5" s="1"/>
  <c r="N714" i="5" a="1"/>
  <c r="N714" i="5"/>
  <c r="N715" i="5" a="1"/>
  <c r="N715" i="5" s="1"/>
  <c r="N716" i="5" a="1"/>
  <c r="N716" i="5" s="1"/>
  <c r="N717" i="5" a="1"/>
  <c r="N717" i="5" s="1"/>
  <c r="N718" i="5" a="1"/>
  <c r="N718" i="5"/>
  <c r="N719" i="5" a="1"/>
  <c r="N719" i="5" s="1"/>
  <c r="N720" i="5" a="1"/>
  <c r="N720" i="5" s="1"/>
  <c r="N721" i="5" a="1"/>
  <c r="N721" i="5" s="1"/>
  <c r="N722" i="5" a="1"/>
  <c r="N722" i="5"/>
  <c r="N723" i="5" a="1"/>
  <c r="N723" i="5" s="1"/>
  <c r="N724" i="5" a="1"/>
  <c r="N724" i="5" s="1"/>
  <c r="N725" i="5" a="1"/>
  <c r="N725" i="5" s="1"/>
  <c r="N726" i="5" a="1"/>
  <c r="N726" i="5"/>
  <c r="N727" i="5" a="1"/>
  <c r="N727" i="5" s="1"/>
  <c r="N728" i="5" a="1"/>
  <c r="N728" i="5" s="1"/>
  <c r="N729" i="5" a="1"/>
  <c r="N729" i="5" s="1"/>
  <c r="N730" i="5" a="1"/>
  <c r="N730" i="5"/>
  <c r="N731" i="5" a="1"/>
  <c r="N731" i="5" s="1"/>
  <c r="N732" i="5" a="1"/>
  <c r="N732" i="5" s="1"/>
  <c r="N733" i="5" a="1"/>
  <c r="N733" i="5" s="1"/>
  <c r="N734" i="5" a="1"/>
  <c r="N734" i="5"/>
  <c r="N735" i="5" a="1"/>
  <c r="N735" i="5" s="1"/>
  <c r="N736" i="5" a="1"/>
  <c r="N736" i="5" s="1"/>
  <c r="N737" i="5" a="1"/>
  <c r="N737" i="5" s="1"/>
  <c r="N738" i="5" a="1"/>
  <c r="N738" i="5"/>
  <c r="N739" i="5" a="1"/>
  <c r="N739" i="5" s="1"/>
  <c r="N740" i="5" a="1"/>
  <c r="N740" i="5" s="1"/>
  <c r="N741" i="5" a="1"/>
  <c r="N741" i="5" s="1"/>
  <c r="N742" i="5" a="1"/>
  <c r="N742" i="5"/>
  <c r="N743" i="5" a="1"/>
  <c r="N743" i="5" s="1"/>
  <c r="N744" i="5" a="1"/>
  <c r="N744" i="5" s="1"/>
  <c r="N745" i="5" a="1"/>
  <c r="N745" i="5" s="1"/>
  <c r="N746" i="5" a="1"/>
  <c r="N746" i="5"/>
  <c r="N747" i="5" a="1"/>
  <c r="N747" i="5" s="1"/>
  <c r="N748" i="5" a="1"/>
  <c r="N748" i="5" s="1"/>
  <c r="N749" i="5" a="1"/>
  <c r="N749" i="5" s="1"/>
  <c r="N750" i="5" a="1"/>
  <c r="N750" i="5"/>
  <c r="N751" i="5" a="1"/>
  <c r="N751" i="5" s="1"/>
  <c r="N752" i="5" a="1"/>
  <c r="N752" i="5" s="1"/>
  <c r="N753" i="5" a="1"/>
  <c r="N753" i="5" s="1"/>
  <c r="N754" i="5" a="1"/>
  <c r="N754" i="5"/>
  <c r="N755" i="5" a="1"/>
  <c r="N755" i="5" s="1"/>
  <c r="N756" i="5" a="1"/>
  <c r="N756" i="5" s="1"/>
  <c r="N757" i="5" a="1"/>
  <c r="N757" i="5" s="1"/>
  <c r="N758" i="5" a="1"/>
  <c r="N758" i="5"/>
  <c r="N759" i="5" a="1"/>
  <c r="N759" i="5" s="1"/>
  <c r="N760" i="5" a="1"/>
  <c r="N760" i="5" s="1"/>
  <c r="N761" i="5" a="1"/>
  <c r="N761" i="5" s="1"/>
  <c r="N762" i="5" a="1"/>
  <c r="N762" i="5"/>
  <c r="N763" i="5" a="1"/>
  <c r="N763" i="5" s="1"/>
  <c r="N764" i="5" a="1"/>
  <c r="N764" i="5" s="1"/>
  <c r="N765" i="5" a="1"/>
  <c r="N765" i="5" s="1"/>
  <c r="N766" i="5" a="1"/>
  <c r="N766" i="5" s="1"/>
  <c r="N767" i="5" a="1"/>
  <c r="N767" i="5" s="1"/>
  <c r="N768" i="5" a="1"/>
  <c r="N768" i="5" s="1"/>
  <c r="N769" i="5" a="1"/>
  <c r="N769" i="5" s="1"/>
  <c r="N770" i="5" a="1"/>
  <c r="N770" i="5"/>
  <c r="N771" i="5" a="1"/>
  <c r="N771" i="5" s="1"/>
  <c r="N772" i="5" a="1"/>
  <c r="N772" i="5" s="1"/>
  <c r="N773" i="5" a="1"/>
  <c r="N773" i="5" s="1"/>
  <c r="N774" i="5" a="1"/>
  <c r="N774" i="5" s="1"/>
  <c r="N775" i="5" a="1"/>
  <c r="N775" i="5" s="1"/>
  <c r="N776" i="5" a="1"/>
  <c r="N776" i="5" s="1"/>
  <c r="N777" i="5" a="1"/>
  <c r="N777" i="5" s="1"/>
  <c r="N778" i="5" a="1"/>
  <c r="N778" i="5"/>
  <c r="N779" i="5" a="1"/>
  <c r="N779" i="5" s="1"/>
  <c r="N780" i="5" a="1"/>
  <c r="N780" i="5" s="1"/>
  <c r="N781" i="5" a="1"/>
  <c r="N781" i="5" s="1"/>
  <c r="N782" i="5" a="1"/>
  <c r="N782" i="5" s="1"/>
  <c r="N783" i="5" a="1"/>
  <c r="N783" i="5" s="1"/>
  <c r="N784" i="5" a="1"/>
  <c r="N784" i="5" s="1"/>
  <c r="N785" i="5" a="1"/>
  <c r="N785" i="5" s="1"/>
  <c r="N786" i="5" a="1"/>
  <c r="N786" i="5"/>
  <c r="N787" i="5" a="1"/>
  <c r="N787" i="5" s="1"/>
  <c r="N788" i="5" a="1"/>
  <c r="N788" i="5" s="1"/>
  <c r="N789" i="5" a="1"/>
  <c r="N789" i="5" s="1"/>
  <c r="N790" i="5" a="1"/>
  <c r="N790" i="5" s="1"/>
  <c r="N791" i="5" a="1"/>
  <c r="N791" i="5" s="1"/>
  <c r="N792" i="5" a="1"/>
  <c r="N792" i="5" s="1"/>
  <c r="N793" i="5" a="1"/>
  <c r="N793" i="5" s="1"/>
  <c r="N794" i="5" a="1"/>
  <c r="N794" i="5"/>
  <c r="N795" i="5" a="1"/>
  <c r="N795" i="5" s="1"/>
  <c r="N796" i="5" a="1"/>
  <c r="N796" i="5" s="1"/>
  <c r="N797" i="5" a="1"/>
  <c r="N797" i="5" s="1"/>
  <c r="N798" i="5" a="1"/>
  <c r="N798" i="5" s="1"/>
  <c r="N799" i="5" a="1"/>
  <c r="N799" i="5" s="1"/>
  <c r="N800" i="5" a="1"/>
  <c r="N800" i="5" s="1"/>
  <c r="N801" i="5" a="1"/>
  <c r="N801" i="5" s="1"/>
  <c r="N802" i="5" a="1"/>
  <c r="N802" i="5"/>
  <c r="N803" i="5" a="1"/>
  <c r="N803" i="5" s="1"/>
  <c r="N804" i="5" a="1"/>
  <c r="N804" i="5" s="1"/>
  <c r="N805" i="5" a="1"/>
  <c r="N805" i="5" s="1"/>
  <c r="N806" i="5" a="1"/>
  <c r="N806" i="5" s="1"/>
  <c r="N807" i="5" a="1"/>
  <c r="N807" i="5" s="1"/>
  <c r="N808" i="5" a="1"/>
  <c r="N808" i="5" s="1"/>
  <c r="N809" i="5" a="1"/>
  <c r="N809" i="5" s="1"/>
  <c r="N810" i="5" a="1"/>
  <c r="N810" i="5"/>
  <c r="N811" i="5" a="1"/>
  <c r="N811" i="5" s="1"/>
  <c r="N812" i="5" a="1"/>
  <c r="N812" i="5" s="1"/>
  <c r="N813" i="5" a="1"/>
  <c r="N813" i="5" s="1"/>
  <c r="N814" i="5" a="1"/>
  <c r="N814" i="5" s="1"/>
  <c r="N815" i="5" a="1"/>
  <c r="N815" i="5" s="1"/>
  <c r="N816" i="5" a="1"/>
  <c r="N816" i="5" s="1"/>
  <c r="N817" i="5" a="1"/>
  <c r="N817" i="5" s="1"/>
  <c r="N818" i="5" a="1"/>
  <c r="N818" i="5"/>
  <c r="N819" i="5" a="1"/>
  <c r="N819" i="5" s="1"/>
  <c r="N820" i="5" a="1"/>
  <c r="N820" i="5" s="1"/>
  <c r="N821" i="5" a="1"/>
  <c r="N821" i="5" s="1"/>
  <c r="N822" i="5" a="1"/>
  <c r="N822" i="5" s="1"/>
  <c r="N823" i="5" a="1"/>
  <c r="N823" i="5" s="1"/>
  <c r="N824" i="5" a="1"/>
  <c r="N824" i="5" s="1"/>
  <c r="N825" i="5" a="1"/>
  <c r="N825" i="5" s="1"/>
  <c r="N826" i="5" a="1"/>
  <c r="N826" i="5"/>
  <c r="N827" i="5" a="1"/>
  <c r="N827" i="5" s="1"/>
  <c r="N828" i="5" a="1"/>
  <c r="N828" i="5" s="1"/>
  <c r="N829" i="5" a="1"/>
  <c r="N829" i="5" s="1"/>
  <c r="N830" i="5" a="1"/>
  <c r="N830" i="5" s="1"/>
  <c r="N831" i="5" a="1"/>
  <c r="N831" i="5" s="1"/>
  <c r="N832" i="5" a="1"/>
  <c r="N832" i="5" s="1"/>
  <c r="N833" i="5" a="1"/>
  <c r="N833" i="5" s="1"/>
  <c r="N834" i="5" a="1"/>
  <c r="N834" i="5"/>
  <c r="N835" i="5" a="1"/>
  <c r="N835" i="5" s="1"/>
  <c r="N836" i="5" a="1"/>
  <c r="N836" i="5" s="1"/>
  <c r="N837" i="5" a="1"/>
  <c r="N837" i="5" s="1"/>
  <c r="N838" i="5" a="1"/>
  <c r="N838" i="5" s="1"/>
  <c r="N839" i="5" a="1"/>
  <c r="N839" i="5" s="1"/>
  <c r="N840" i="5" a="1"/>
  <c r="N840" i="5" s="1"/>
  <c r="N841" i="5" a="1"/>
  <c r="N841" i="5" s="1"/>
  <c r="N842" i="5" a="1"/>
  <c r="N842" i="5"/>
  <c r="N843" i="5" a="1"/>
  <c r="N843" i="5" s="1"/>
  <c r="N844" i="5" a="1"/>
  <c r="N844" i="5" s="1"/>
  <c r="N845" i="5" a="1"/>
  <c r="N845" i="5" s="1"/>
  <c r="N846" i="5" a="1"/>
  <c r="N846" i="5" s="1"/>
  <c r="N847" i="5" a="1"/>
  <c r="N847" i="5" s="1"/>
  <c r="N848" i="5" a="1"/>
  <c r="N848" i="5" s="1"/>
  <c r="N849" i="5" a="1"/>
  <c r="N849" i="5" s="1"/>
  <c r="N850" i="5" a="1"/>
  <c r="N850" i="5"/>
  <c r="N851" i="5" a="1"/>
  <c r="N851" i="5" s="1"/>
  <c r="N852" i="5" a="1"/>
  <c r="N852" i="5" s="1"/>
  <c r="N853" i="5" a="1"/>
  <c r="N853" i="5" s="1"/>
  <c r="N854" i="5" a="1"/>
  <c r="N854" i="5" s="1"/>
  <c r="N855" i="5" a="1"/>
  <c r="N855" i="5" s="1"/>
  <c r="N856" i="5" a="1"/>
  <c r="N856" i="5" s="1"/>
  <c r="N857" i="5" a="1"/>
  <c r="N857" i="5" s="1"/>
  <c r="N858" i="5" a="1"/>
  <c r="N858" i="5"/>
  <c r="N859" i="5" a="1"/>
  <c r="N859" i="5" s="1"/>
  <c r="N860" i="5" a="1"/>
  <c r="N860" i="5" s="1"/>
  <c r="N861" i="5" a="1"/>
  <c r="N861" i="5" s="1"/>
  <c r="N862" i="5" a="1"/>
  <c r="N862" i="5" s="1"/>
  <c r="N863" i="5" a="1"/>
  <c r="N863" i="5" s="1"/>
  <c r="N864" i="5" a="1"/>
  <c r="N864" i="5" s="1"/>
  <c r="N865" i="5" a="1"/>
  <c r="N865" i="5" s="1"/>
  <c r="N866" i="5" a="1"/>
  <c r="N866" i="5"/>
  <c r="N867" i="5" a="1"/>
  <c r="N867" i="5" s="1"/>
  <c r="N868" i="5" a="1"/>
  <c r="N868" i="5" s="1"/>
  <c r="N869" i="5" a="1"/>
  <c r="N869" i="5" s="1"/>
  <c r="N870" i="5" a="1"/>
  <c r="N870" i="5" s="1"/>
  <c r="N871" i="5" a="1"/>
  <c r="N871" i="5" s="1"/>
  <c r="N872" i="5" a="1"/>
  <c r="N872" i="5" s="1"/>
  <c r="N873" i="5" a="1"/>
  <c r="N873" i="5" s="1"/>
  <c r="N874" i="5" a="1"/>
  <c r="N874" i="5"/>
  <c r="N875" i="5" a="1"/>
  <c r="N875" i="5" s="1"/>
  <c r="N876" i="5" a="1"/>
  <c r="N876" i="5" s="1"/>
  <c r="N877" i="5" a="1"/>
  <c r="N877" i="5" s="1"/>
  <c r="N878" i="5" a="1"/>
  <c r="N878" i="5" s="1"/>
  <c r="N879" i="5" a="1"/>
  <c r="N879" i="5" s="1"/>
  <c r="N880" i="5" a="1"/>
  <c r="N880" i="5" s="1"/>
  <c r="N881" i="5" a="1"/>
  <c r="N881" i="5" s="1"/>
  <c r="N882" i="5" a="1"/>
  <c r="N882" i="5"/>
  <c r="N883" i="5" a="1"/>
  <c r="N883" i="5" s="1"/>
  <c r="N884" i="5" a="1"/>
  <c r="N884" i="5" s="1"/>
  <c r="N885" i="5" a="1"/>
  <c r="N885" i="5" s="1"/>
  <c r="N886" i="5" a="1"/>
  <c r="N886" i="5" s="1"/>
  <c r="N887" i="5" a="1"/>
  <c r="N887" i="5" s="1"/>
  <c r="N888" i="5" a="1"/>
  <c r="N888" i="5" s="1"/>
  <c r="N889" i="5" a="1"/>
  <c r="N889" i="5" s="1"/>
  <c r="N890" i="5" a="1"/>
  <c r="N890" i="5"/>
  <c r="N891" i="5" a="1"/>
  <c r="N891" i="5" s="1"/>
  <c r="N892" i="5" a="1"/>
  <c r="N892" i="5" s="1"/>
  <c r="N893" i="5" a="1"/>
  <c r="N893" i="5" s="1"/>
  <c r="N894" i="5" a="1"/>
  <c r="N894" i="5" s="1"/>
  <c r="N895" i="5" a="1"/>
  <c r="N895" i="5" s="1"/>
  <c r="N896" i="5" a="1"/>
  <c r="N896" i="5" s="1"/>
  <c r="N897" i="5" a="1"/>
  <c r="N897" i="5" s="1"/>
  <c r="N898" i="5" a="1"/>
  <c r="N898" i="5"/>
  <c r="N899" i="5" a="1"/>
  <c r="N899" i="5" s="1"/>
  <c r="N900" i="5" a="1"/>
  <c r="N900" i="5" s="1"/>
  <c r="N901" i="5" a="1"/>
  <c r="N901" i="5" s="1"/>
  <c r="N902" i="5" a="1"/>
  <c r="N902" i="5" s="1"/>
  <c r="N903" i="5" a="1"/>
  <c r="N903" i="5" s="1"/>
  <c r="N904" i="5" a="1"/>
  <c r="N904" i="5" s="1"/>
  <c r="N905" i="5" a="1"/>
  <c r="N905" i="5" s="1"/>
  <c r="N906" i="5" a="1"/>
  <c r="N906" i="5"/>
  <c r="N907" i="5" a="1"/>
  <c r="N907" i="5" s="1"/>
  <c r="N908" i="5" a="1"/>
  <c r="N908" i="5" s="1"/>
  <c r="N909" i="5" a="1"/>
  <c r="N909" i="5" s="1"/>
  <c r="N910" i="5" a="1"/>
  <c r="N910" i="5" s="1"/>
  <c r="N911" i="5" a="1"/>
  <c r="N911" i="5" s="1"/>
  <c r="N912" i="5" a="1"/>
  <c r="N912" i="5" s="1"/>
  <c r="N913" i="5" a="1"/>
  <c r="N913" i="5" s="1"/>
  <c r="N914" i="5" a="1"/>
  <c r="N914" i="5"/>
  <c r="N915" i="5" a="1"/>
  <c r="N915" i="5" s="1"/>
  <c r="N916" i="5" a="1"/>
  <c r="N916" i="5" s="1"/>
  <c r="N917" i="5" a="1"/>
  <c r="N917" i="5" s="1"/>
  <c r="N918" i="5" a="1"/>
  <c r="N918" i="5" s="1"/>
  <c r="N919" i="5" a="1"/>
  <c r="N919" i="5" s="1"/>
  <c r="N920" i="5" a="1"/>
  <c r="N920" i="5" s="1"/>
  <c r="N921" i="5" a="1"/>
  <c r="N921" i="5" s="1"/>
  <c r="N922" i="5" a="1"/>
  <c r="N922" i="5"/>
  <c r="N923" i="5" a="1"/>
  <c r="N923" i="5" s="1"/>
  <c r="N924" i="5" a="1"/>
  <c r="N924" i="5" s="1"/>
  <c r="N925" i="5" a="1"/>
  <c r="N925" i="5" s="1"/>
  <c r="N926" i="5" a="1"/>
  <c r="N926" i="5" s="1"/>
  <c r="N927" i="5" a="1"/>
  <c r="N927" i="5" s="1"/>
  <c r="N928" i="5" a="1"/>
  <c r="N928" i="5" s="1"/>
  <c r="N929" i="5" a="1"/>
  <c r="N929" i="5" s="1"/>
  <c r="N930" i="5" a="1"/>
  <c r="N930" i="5"/>
  <c r="N931" i="5" a="1"/>
  <c r="N931" i="5" s="1"/>
  <c r="N932" i="5" a="1"/>
  <c r="N932" i="5" s="1"/>
  <c r="N933" i="5" a="1"/>
  <c r="N933" i="5" s="1"/>
  <c r="N934" i="5" a="1"/>
  <c r="N934" i="5" s="1"/>
  <c r="N935" i="5" a="1"/>
  <c r="N935" i="5" s="1"/>
  <c r="N936" i="5" a="1"/>
  <c r="N936" i="5" s="1"/>
  <c r="N937" i="5" a="1"/>
  <c r="N937" i="5" s="1"/>
  <c r="N938" i="5" a="1"/>
  <c r="N938" i="5"/>
  <c r="N939" i="5" a="1"/>
  <c r="N939" i="5" s="1"/>
  <c r="N940" i="5" a="1"/>
  <c r="N940" i="5" s="1"/>
  <c r="N941" i="5" a="1"/>
  <c r="N941" i="5" s="1"/>
  <c r="N942" i="5" a="1"/>
  <c r="N942" i="5" s="1"/>
  <c r="N943" i="5" a="1"/>
  <c r="N943" i="5" s="1"/>
  <c r="N944" i="5" a="1"/>
  <c r="N944" i="5" s="1"/>
  <c r="N945" i="5" a="1"/>
  <c r="N945" i="5" s="1"/>
  <c r="N946" i="5" a="1"/>
  <c r="N946" i="5"/>
  <c r="N947" i="5" a="1"/>
  <c r="N947" i="5" s="1"/>
  <c r="N948" i="5" a="1"/>
  <c r="N948" i="5" s="1"/>
  <c r="N949" i="5" a="1"/>
  <c r="N949" i="5" s="1"/>
  <c r="N950" i="5" a="1"/>
  <c r="N950" i="5" s="1"/>
  <c r="N951" i="5" a="1"/>
  <c r="N951" i="5" s="1"/>
  <c r="N952" i="5" a="1"/>
  <c r="N952" i="5" s="1"/>
  <c r="N953" i="5" a="1"/>
  <c r="N953" i="5" s="1"/>
  <c r="N954" i="5" a="1"/>
  <c r="N954" i="5"/>
  <c r="N955" i="5" a="1"/>
  <c r="N955" i="5" s="1"/>
  <c r="N956" i="5" a="1"/>
  <c r="N956" i="5" s="1"/>
  <c r="N957" i="5" a="1"/>
  <c r="N957" i="5" s="1"/>
  <c r="N958" i="5" a="1"/>
  <c r="N958" i="5" s="1"/>
  <c r="N959" i="5" a="1"/>
  <c r="N959" i="5" s="1"/>
  <c r="N960" i="5" a="1"/>
  <c r="N960" i="5" s="1"/>
  <c r="N961" i="5" a="1"/>
  <c r="N961" i="5" s="1"/>
  <c r="N962" i="5" a="1"/>
  <c r="N962" i="5"/>
  <c r="N963" i="5" a="1"/>
  <c r="N963" i="5" s="1"/>
  <c r="N964" i="5" a="1"/>
  <c r="N964" i="5" s="1"/>
  <c r="N965" i="5" a="1"/>
  <c r="N965" i="5" s="1"/>
  <c r="N966" i="5" a="1"/>
  <c r="N966" i="5" s="1"/>
  <c r="N967" i="5" a="1"/>
  <c r="N967" i="5" s="1"/>
  <c r="N968" i="5" a="1"/>
  <c r="N968" i="5" s="1"/>
  <c r="N969" i="5" a="1"/>
  <c r="N969" i="5" s="1"/>
  <c r="N970" i="5" a="1"/>
  <c r="N970" i="5"/>
  <c r="N971" i="5" a="1"/>
  <c r="N971" i="5" s="1"/>
  <c r="N972" i="5" a="1"/>
  <c r="N972" i="5" s="1"/>
  <c r="N973" i="5" a="1"/>
  <c r="N973" i="5" s="1"/>
  <c r="N974" i="5" a="1"/>
  <c r="N974" i="5" s="1"/>
  <c r="N975" i="5" a="1"/>
  <c r="N975" i="5" s="1"/>
  <c r="N976" i="5" a="1"/>
  <c r="N976" i="5" s="1"/>
  <c r="N977" i="5" a="1"/>
  <c r="N977" i="5" s="1"/>
  <c r="N978" i="5" a="1"/>
  <c r="N978" i="5"/>
  <c r="N979" i="5" a="1"/>
  <c r="N979" i="5" s="1"/>
  <c r="N980" i="5" a="1"/>
  <c r="N980" i="5" s="1"/>
  <c r="N981" i="5" a="1"/>
  <c r="N981" i="5" s="1"/>
  <c r="N982" i="5" a="1"/>
  <c r="N982" i="5" s="1"/>
  <c r="N983" i="5" a="1"/>
  <c r="N983" i="5" s="1"/>
  <c r="N984" i="5" a="1"/>
  <c r="N984" i="5" s="1"/>
  <c r="N985" i="5" a="1"/>
  <c r="N985" i="5" s="1"/>
  <c r="N986" i="5" a="1"/>
  <c r="N986" i="5"/>
  <c r="N987" i="5" a="1"/>
  <c r="N987" i="5" s="1"/>
  <c r="N988" i="5" a="1"/>
  <c r="N988" i="5" s="1"/>
  <c r="N989" i="5" a="1"/>
  <c r="N989" i="5" s="1"/>
  <c r="N990" i="5" a="1"/>
  <c r="N990" i="5" s="1"/>
  <c r="N991" i="5" a="1"/>
  <c r="N991" i="5" s="1"/>
  <c r="N992" i="5" a="1"/>
  <c r="N992" i="5" s="1"/>
  <c r="N993" i="5" a="1"/>
  <c r="N993" i="5" s="1"/>
  <c r="N994" i="5" a="1"/>
  <c r="N994" i="5"/>
  <c r="N995" i="5" a="1"/>
  <c r="N995" i="5" s="1"/>
  <c r="N996" i="5" a="1"/>
  <c r="N996" i="5" s="1"/>
  <c r="N997" i="5" a="1"/>
  <c r="N997" i="5" s="1"/>
  <c r="N998" i="5" a="1"/>
  <c r="N998" i="5" s="1"/>
  <c r="N999" i="5" a="1"/>
  <c r="N999" i="5" s="1"/>
  <c r="N1000" i="5" a="1"/>
  <c r="N1000" i="5" s="1"/>
  <c r="N1001" i="5" a="1"/>
  <c r="N1001" i="5" s="1"/>
  <c r="N2" i="5" a="1"/>
  <c r="N2"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57EA28-D585-4773-A9EE-0BF170E039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C40FE36-86DE-48CF-9EF4-386FFC880AD1}" name="WorksheetConnection_Working Sheet!$A$1:$O$1001" type="102" refreshedVersion="8" minRefreshableVersion="5">
    <extLst>
      <ext xmlns:x15="http://schemas.microsoft.com/office/spreadsheetml/2010/11/main" uri="{DE250136-89BD-433C-8126-D09CA5730AF9}">
        <x15:connection id="Range" autoDelete="1">
          <x15:rangePr sourceName="_xlcn.WorksheetConnection_WorkingSheetA1O100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<sst xmlns="http://schemas.openxmlformats.org/spreadsheetml/2006/main" count="16312" uniqueCount="57">
  <si>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</si>
  <si>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</si>
  <si>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</si>
  <si>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</si>
  <si>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</si>
  <si>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</si>
  <si>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</si>
  <si>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</si>
  <si>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</si>
  <si>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</si>
  <si>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</si>
  <si>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</si>
  <si>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</si>
  <si>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</si>
  <si>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</si>
  <si>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</si>
  <si>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</si>
  <si>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</si>
  <si>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</si>
  <si>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</si>
  <si>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</si>
  <si>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</si>
  <si>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</si>
  <si>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</si>
  <si>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</si>
  <si>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</si>
  <si>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</si>
  <si>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</si>
  <si>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</si>
  <si>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</si>
  <si>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</si>
  <si>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</si>
  <si>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</si>
  <si>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</si>
  <si>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</si>
  <si>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</si>
  <si>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Row Labels</t>
  </si>
  <si>
    <t>Grand Total</t>
  </si>
  <si>
    <t>Column Labels</t>
  </si>
  <si>
    <t>Married</t>
  </si>
  <si>
    <t>Single</t>
  </si>
  <si>
    <t>Female</t>
  </si>
  <si>
    <t>Male</t>
  </si>
  <si>
    <t>Age Bracket</t>
  </si>
  <si>
    <t>Average of Income</t>
  </si>
  <si>
    <t>Count of Purchased Bike</t>
  </si>
  <si>
    <t>Income Bracket</t>
  </si>
  <si>
    <t>Average</t>
  </si>
  <si>
    <t>High</t>
  </si>
  <si>
    <t>Low</t>
  </si>
  <si>
    <t>Very High</t>
  </si>
  <si>
    <t>Bike Sales Dashboard</t>
  </si>
  <si>
    <t>Middle Age (30+)</t>
  </si>
  <si>
    <t>Pension Age</t>
  </si>
  <si>
    <t>Elderly (45+)</t>
  </si>
  <si>
    <t>Adult (23+)</t>
  </si>
  <si>
    <t>Poverty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</si>
</sst>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70" formatCode="_(&quot;$&quot;* #,##0_);_(&quot;$&quot;* \(#,##0\);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rgb="FF002060"/>
      <name val="Rockwell"/>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6">
    <xf numFmtId="0" fontId="0" fillId="0" borderId="0" xfId="0"/>
    <xf numFmtId="164" fontId="0" fillId="0" borderId="0" xfId="0" applyNumberFormat="1"/>
    <xf numFmtId="0" fontId="18" fillId="0" borderId="0" xfId="0" applyFont="1"/>
    <xf numFmtId="0" fontId="0" fillId="0" borderId="0" xfId="0" applyAlignment="1">
      <alignment horizontal="center"/>
    </xf>
    <xf numFmtId="0" fontId="0" fillId="0" borderId="0" xfId="0" applyAlignment="1">
      <alignment horizontal="left"/>
    </xf>
    <xf numFmtId="0" fontId="18" fillId="0" borderId="0" xfId="0" applyFont="1" applyAlignment="1">
      <alignment horizontal="center"/>
    </xf>
    <xf numFmtId="0" fontId="0" fillId="0" borderId="0" xfId="0" pivotButton="1"/>
    <xf numFmtId="0" fontId="0" fillId="0" borderId="0" xfId="0" applyNumberFormat="1"/>
    <xf numFmtId="0" fontId="0" fillId="0" borderId="0" xfId="0" applyAlignment="1">
      <alignment horizontal="left" indent="1"/>
    </xf>
    <xf numFmtId="0" fontId="0" fillId="0" borderId="0" xfId="42" applyNumberFormat="1" applyFont="1" applyAlignment="1">
      <alignment horizontal="right"/>
    </xf>
    <xf numFmtId="0" fontId="0" fillId="0" borderId="0" xfId="42" applyNumberFormat="1" applyFont="1"/>
    <xf numFmtId="1" fontId="0" fillId="0" borderId="0" xfId="42" applyNumberFormat="1" applyFont="1" applyAlignment="1">
      <alignment horizontal="right"/>
    </xf>
    <xf numFmtId="1" fontId="0" fillId="0" borderId="0" xfId="42" applyNumberFormat="1" applyFont="1"/>
    <xf numFmtId="0" fontId="19" fillId="33" borderId="0" xfId="0" applyFont="1" applyFill="1" applyAlignment="1">
      <alignment horizontal="center" vertical="center"/>
    </xf>
    <xf numFmtId="170" fontId="0" fillId="0" borderId="0" xfId="0" applyNumberFormat="1"/>
    <xf numFmtId="1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6">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0" formatCode="_(&quot;$&quot;* #,##0_);_(&quot;$&quot;* \(#,##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0" formatCode="_(&quot;$&quot;* #,##0_);_(&quot;$&quot;* \(#,##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0" formatCode="_(&quot;$&quot;* #,##0_);_(&quot;$&quot;* \(#,##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0" formatCode="_(&quot;$&quot;* #,##0_);_(&quot;$&quot;* \(#,##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0" formatCode="_(&quot;$&quot;* #,##0_);_(&quot;$&quot;* \(#,##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0" formatCode="_(&quot;$&quot;* #,##0_);_(&quot;$&quot;* \(#,##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0" formatCode="_(&quot;$&quot;* #,##0_);_(&quot;$&quot;* \(#,##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0" formatCode="_(&quot;$&quot;* #,##0_);_(&quot;$&quot;* \(#,##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0" formatCode="_(&quot;$&quot;* #,##0_);_(&quot;$&quot;* \(#,##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0" formatCode="_(&quot;$&quot;* #,##0_);_(&quot;$&quot;* \(#,##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0"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Portfolio.xlsx]PivotTable!PivotTable2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Background Information</a:t>
            </a:r>
          </a:p>
        </c:rich>
      </c:tx>
      <c:layout>
        <c:manualLayout>
          <c:xMode val="edge"/>
          <c:yMode val="edge"/>
          <c:x val="0.34253238506477013"/>
          <c:y val="2.69560899482159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741068893902491E-2"/>
          <c:y val="0.11735803035015632"/>
          <c:w val="0.76452521826612285"/>
          <c:h val="0.56157092889376359"/>
        </c:manualLayout>
      </c:layout>
      <c:barChart>
        <c:barDir val="col"/>
        <c:grouping val="clustered"/>
        <c:varyColors val="0"/>
        <c:ser>
          <c:idx val="0"/>
          <c:order val="0"/>
          <c:tx>
            <c:strRef>
              <c:f>PivotTable!$B$1:$B$2</c:f>
              <c:strCache>
                <c:ptCount val="1"/>
                <c:pt idx="0">
                  <c:v>No</c:v>
                </c:pt>
              </c:strCache>
            </c:strRef>
          </c:tx>
          <c:spPr>
            <a:solidFill>
              <a:schemeClr val="bg2">
                <a:lumMod val="90000"/>
              </a:schemeClr>
            </a:solidFill>
            <a:ln>
              <a:noFill/>
            </a:ln>
            <a:effectLst/>
          </c:spPr>
          <c:invertIfNegative val="0"/>
          <c:cat>
            <c:multiLvlStrRef>
              <c:f>PivotTable!$A$3:$A$15</c:f>
              <c:multiLvlStrCache>
                <c:ptCount val="10"/>
                <c:lvl>
                  <c:pt idx="0">
                    <c:v>Bachelors</c:v>
                  </c:pt>
                  <c:pt idx="1">
                    <c:v>Graduate Degree</c:v>
                  </c:pt>
                  <c:pt idx="2">
                    <c:v>Partial College</c:v>
                  </c:pt>
                  <c:pt idx="3">
                    <c:v>High School</c:v>
                  </c:pt>
                  <c:pt idx="4">
                    <c:v>Partial High School</c:v>
                  </c:pt>
                  <c:pt idx="5">
                    <c:v>Bachelors</c:v>
                  </c:pt>
                  <c:pt idx="6">
                    <c:v>Graduate Degree</c:v>
                  </c:pt>
                  <c:pt idx="7">
                    <c:v>Partial College</c:v>
                  </c:pt>
                  <c:pt idx="8">
                    <c:v>High School</c:v>
                  </c:pt>
                  <c:pt idx="9">
                    <c:v>Partial High School</c:v>
                  </c:pt>
                </c:lvl>
                <c:lvl>
                  <c:pt idx="0">
                    <c:v>Female</c:v>
                  </c:pt>
                  <c:pt idx="5">
                    <c:v>Male</c:v>
                  </c:pt>
                </c:lvl>
              </c:multiLvlStrCache>
            </c:multiLvlStrRef>
          </c:cat>
          <c:val>
            <c:numRef>
              <c:f>PivotTable!$B$3:$B$15</c:f>
              <c:numCache>
                <c:formatCode>_("$"* #,##0_);_("$"* \(#,##0\);_("$"* "-"??_);_(@_)</c:formatCode>
                <c:ptCount val="10"/>
                <c:pt idx="0">
                  <c:v>66818.181818181823</c:v>
                </c:pt>
                <c:pt idx="1">
                  <c:v>66000</c:v>
                </c:pt>
                <c:pt idx="2">
                  <c:v>49714.285714285717</c:v>
                </c:pt>
                <c:pt idx="3">
                  <c:v>43913.043478260872</c:v>
                </c:pt>
                <c:pt idx="4">
                  <c:v>28928.571428571428</c:v>
                </c:pt>
                <c:pt idx="5">
                  <c:v>65633.802816901414</c:v>
                </c:pt>
                <c:pt idx="6">
                  <c:v>70000</c:v>
                </c:pt>
                <c:pt idx="7">
                  <c:v>56184.210526315786</c:v>
                </c:pt>
                <c:pt idx="8">
                  <c:v>45925.925925925927</c:v>
                </c:pt>
                <c:pt idx="9">
                  <c:v>32500</c:v>
                </c:pt>
              </c:numCache>
            </c:numRef>
          </c:val>
          <c:extLst>
            <c:ext xmlns:c16="http://schemas.microsoft.com/office/drawing/2014/chart" uri="{C3380CC4-5D6E-409C-BE32-E72D297353CC}">
              <c16:uniqueId val="{00000000-D123-4A6C-95B1-DDAA19AFB23E}"/>
            </c:ext>
          </c:extLst>
        </c:ser>
        <c:ser>
          <c:idx val="1"/>
          <c:order val="1"/>
          <c:tx>
            <c:strRef>
              <c:f>PivotTable!$C$1:$C$2</c:f>
              <c:strCache>
                <c:ptCount val="1"/>
                <c:pt idx="0">
                  <c:v>Yes</c:v>
                </c:pt>
              </c:strCache>
            </c:strRef>
          </c:tx>
          <c:spPr>
            <a:solidFill>
              <a:schemeClr val="accent5"/>
            </a:solidFill>
            <a:ln>
              <a:noFill/>
            </a:ln>
            <a:effectLst/>
          </c:spPr>
          <c:invertIfNegative val="0"/>
          <c:cat>
            <c:multiLvlStrRef>
              <c:f>PivotTable!$A$3:$A$15</c:f>
              <c:multiLvlStrCache>
                <c:ptCount val="10"/>
                <c:lvl>
                  <c:pt idx="0">
                    <c:v>Bachelors</c:v>
                  </c:pt>
                  <c:pt idx="1">
                    <c:v>Graduate Degree</c:v>
                  </c:pt>
                  <c:pt idx="2">
                    <c:v>Partial College</c:v>
                  </c:pt>
                  <c:pt idx="3">
                    <c:v>High School</c:v>
                  </c:pt>
                  <c:pt idx="4">
                    <c:v>Partial High School</c:v>
                  </c:pt>
                  <c:pt idx="5">
                    <c:v>Bachelors</c:v>
                  </c:pt>
                  <c:pt idx="6">
                    <c:v>Graduate Degree</c:v>
                  </c:pt>
                  <c:pt idx="7">
                    <c:v>Partial College</c:v>
                  </c:pt>
                  <c:pt idx="8">
                    <c:v>High School</c:v>
                  </c:pt>
                  <c:pt idx="9">
                    <c:v>Partial High School</c:v>
                  </c:pt>
                </c:lvl>
                <c:lvl>
                  <c:pt idx="0">
                    <c:v>Female</c:v>
                  </c:pt>
                  <c:pt idx="5">
                    <c:v>Male</c:v>
                  </c:pt>
                </c:lvl>
              </c:multiLvlStrCache>
            </c:multiLvlStrRef>
          </c:cat>
          <c:val>
            <c:numRef>
              <c:f>PivotTable!$C$3:$C$15</c:f>
              <c:numCache>
                <c:formatCode>_("$"* #,##0_);_("$"* \(#,##0\);_("$"* "-"??_);_(@_)</c:formatCode>
                <c:ptCount val="10"/>
                <c:pt idx="0">
                  <c:v>61625</c:v>
                </c:pt>
                <c:pt idx="1">
                  <c:v>61698.113207547169</c:v>
                </c:pt>
                <c:pt idx="2">
                  <c:v>52741.93548387097</c:v>
                </c:pt>
                <c:pt idx="3">
                  <c:v>45294.117647058825</c:v>
                </c:pt>
                <c:pt idx="4">
                  <c:v>32000</c:v>
                </c:pt>
                <c:pt idx="5">
                  <c:v>59325.84269662921</c:v>
                </c:pt>
                <c:pt idx="6">
                  <c:v>68048.780487804877</c:v>
                </c:pt>
                <c:pt idx="7">
                  <c:v>61052.631578947367</c:v>
                </c:pt>
                <c:pt idx="8">
                  <c:v>53777.777777777781</c:v>
                </c:pt>
                <c:pt idx="9">
                  <c:v>58000</c:v>
                </c:pt>
              </c:numCache>
            </c:numRef>
          </c:val>
          <c:extLst>
            <c:ext xmlns:c16="http://schemas.microsoft.com/office/drawing/2014/chart" uri="{C3380CC4-5D6E-409C-BE32-E72D297353CC}">
              <c16:uniqueId val="{00000002-D123-4A6C-95B1-DDAA19AFB23E}"/>
            </c:ext>
          </c:extLst>
        </c:ser>
        <c:dLbls>
          <c:showLegendKey val="0"/>
          <c:showVal val="0"/>
          <c:showCatName val="0"/>
          <c:showSerName val="0"/>
          <c:showPercent val="0"/>
          <c:showBubbleSize val="0"/>
        </c:dLbls>
        <c:gapWidth val="150"/>
        <c:axId val="2074028576"/>
        <c:axId val="82061264"/>
      </c:barChart>
      <c:catAx>
        <c:axId val="207402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61264"/>
        <c:crosses val="autoZero"/>
        <c:auto val="1"/>
        <c:lblAlgn val="ctr"/>
        <c:lblOffset val="100"/>
        <c:noMultiLvlLbl val="0"/>
      </c:catAx>
      <c:valAx>
        <c:axId val="8206126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28576"/>
        <c:crosses val="autoZero"/>
        <c:crossBetween val="between"/>
        <c:majorUnit val="15000"/>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87504942665085017"/>
          <c:y val="0.45396331438069104"/>
          <c:w val="9.7505668934240369E-2"/>
          <c:h val="0.167289548785611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Portfolio.xlsx]PivotTable!PivotTable3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 Commuting Needs</a:t>
            </a:r>
          </a:p>
        </c:rich>
      </c:tx>
      <c:layout>
        <c:manualLayout>
          <c:xMode val="edge"/>
          <c:yMode val="edge"/>
          <c:x val="0.27985626402377939"/>
          <c:y val="3.23759673307312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59139433995621E-2"/>
          <c:y val="0.16174559483789452"/>
          <c:w val="0.74626698217127008"/>
          <c:h val="0.63301182982499682"/>
        </c:manualLayout>
      </c:layout>
      <c:barChart>
        <c:barDir val="col"/>
        <c:grouping val="clustered"/>
        <c:varyColors val="0"/>
        <c:ser>
          <c:idx val="0"/>
          <c:order val="0"/>
          <c:tx>
            <c:strRef>
              <c:f>PivotTable!$B$22:$B$23</c:f>
              <c:strCache>
                <c:ptCount val="1"/>
                <c:pt idx="0">
                  <c:v>Female</c:v>
                </c:pt>
              </c:strCache>
            </c:strRef>
          </c:tx>
          <c:spPr>
            <a:solidFill>
              <a:schemeClr val="accent1"/>
            </a:solidFill>
            <a:ln>
              <a:noFill/>
            </a:ln>
            <a:effectLst/>
          </c:spPr>
          <c:invertIfNegative val="0"/>
          <c:cat>
            <c:strRef>
              <c:f>PivotTable!$A$24:$A$29</c:f>
              <c:strCache>
                <c:ptCount val="5"/>
                <c:pt idx="0">
                  <c:v>0-1 Miles</c:v>
                </c:pt>
                <c:pt idx="1">
                  <c:v>1-2 Miles</c:v>
                </c:pt>
                <c:pt idx="2">
                  <c:v>2-5 Miles</c:v>
                </c:pt>
                <c:pt idx="3">
                  <c:v>5-10 Miles</c:v>
                </c:pt>
                <c:pt idx="4">
                  <c:v>10+ Miles</c:v>
                </c:pt>
              </c:strCache>
            </c:strRef>
          </c:cat>
          <c:val>
            <c:numRef>
              <c:f>PivotTable!$B$24:$B$29</c:f>
              <c:numCache>
                <c:formatCode>General</c:formatCode>
                <c:ptCount val="5"/>
                <c:pt idx="0">
                  <c:v>192</c:v>
                </c:pt>
                <c:pt idx="1">
                  <c:v>85</c:v>
                </c:pt>
                <c:pt idx="2">
                  <c:v>79</c:v>
                </c:pt>
                <c:pt idx="3">
                  <c:v>81</c:v>
                </c:pt>
                <c:pt idx="4">
                  <c:v>52</c:v>
                </c:pt>
              </c:numCache>
            </c:numRef>
          </c:val>
          <c:extLst>
            <c:ext xmlns:c16="http://schemas.microsoft.com/office/drawing/2014/chart" uri="{C3380CC4-5D6E-409C-BE32-E72D297353CC}">
              <c16:uniqueId val="{00000000-5F42-450D-AD37-CABB9881316A}"/>
            </c:ext>
          </c:extLst>
        </c:ser>
        <c:ser>
          <c:idx val="1"/>
          <c:order val="1"/>
          <c:tx>
            <c:strRef>
              <c:f>PivotTable!$C$22:$C$23</c:f>
              <c:strCache>
                <c:ptCount val="1"/>
                <c:pt idx="0">
                  <c:v>Male</c:v>
                </c:pt>
              </c:strCache>
            </c:strRef>
          </c:tx>
          <c:spPr>
            <a:solidFill>
              <a:schemeClr val="accent2"/>
            </a:solidFill>
            <a:ln>
              <a:noFill/>
            </a:ln>
            <a:effectLst/>
          </c:spPr>
          <c:invertIfNegative val="0"/>
          <c:cat>
            <c:strRef>
              <c:f>PivotTable!$A$24:$A$29</c:f>
              <c:strCache>
                <c:ptCount val="5"/>
                <c:pt idx="0">
                  <c:v>0-1 Miles</c:v>
                </c:pt>
                <c:pt idx="1">
                  <c:v>1-2 Miles</c:v>
                </c:pt>
                <c:pt idx="2">
                  <c:v>2-5 Miles</c:v>
                </c:pt>
                <c:pt idx="3">
                  <c:v>5-10 Miles</c:v>
                </c:pt>
                <c:pt idx="4">
                  <c:v>10+ Miles</c:v>
                </c:pt>
              </c:strCache>
            </c:strRef>
          </c:cat>
          <c:val>
            <c:numRef>
              <c:f>PivotTable!$C$24:$C$29</c:f>
              <c:numCache>
                <c:formatCode>General</c:formatCode>
                <c:ptCount val="5"/>
                <c:pt idx="0">
                  <c:v>174</c:v>
                </c:pt>
                <c:pt idx="1">
                  <c:v>84</c:v>
                </c:pt>
                <c:pt idx="2">
                  <c:v>83</c:v>
                </c:pt>
                <c:pt idx="3">
                  <c:v>111</c:v>
                </c:pt>
                <c:pt idx="4">
                  <c:v>59</c:v>
                </c:pt>
              </c:numCache>
            </c:numRef>
          </c:val>
          <c:extLst>
            <c:ext xmlns:c16="http://schemas.microsoft.com/office/drawing/2014/chart" uri="{C3380CC4-5D6E-409C-BE32-E72D297353CC}">
              <c16:uniqueId val="{0000000B-5F42-450D-AD37-CABB9881316A}"/>
            </c:ext>
          </c:extLst>
        </c:ser>
        <c:dLbls>
          <c:showLegendKey val="0"/>
          <c:showVal val="0"/>
          <c:showCatName val="0"/>
          <c:showSerName val="0"/>
          <c:showPercent val="0"/>
          <c:showBubbleSize val="0"/>
        </c:dLbls>
        <c:gapWidth val="219"/>
        <c:overlap val="-27"/>
        <c:axId val="81544400"/>
        <c:axId val="81556400"/>
      </c:barChart>
      <c:catAx>
        <c:axId val="8154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56400"/>
        <c:crosses val="autoZero"/>
        <c:auto val="1"/>
        <c:lblAlgn val="ctr"/>
        <c:lblOffset val="100"/>
        <c:noMultiLvlLbl val="0"/>
      </c:catAx>
      <c:valAx>
        <c:axId val="8155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44400"/>
        <c:crosses val="autoZero"/>
        <c:crossBetween val="between"/>
      </c:valAx>
      <c:spPr>
        <a:noFill/>
        <a:ln>
          <a:noFill/>
        </a:ln>
        <a:effectLst/>
      </c:spPr>
    </c:plotArea>
    <c:legend>
      <c:legendPos val="r"/>
      <c:layout>
        <c:manualLayout>
          <c:xMode val="edge"/>
          <c:yMode val="edge"/>
          <c:x val="0.85344374342797058"/>
          <c:y val="0.2688273206536862"/>
          <c:w val="7.9701416497977171E-2"/>
          <c:h val="0.227166396950727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Portfolio.xlsx]PivotTable!PivotTable6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a:t>
            </a:r>
          </a:p>
          <a:p>
            <a:pPr>
              <a:defRPr/>
            </a:pPr>
            <a:r>
              <a:rPr lang="en-US"/>
              <a:t>Status &amp;</a:t>
            </a:r>
          </a:p>
          <a:p>
            <a:pPr>
              <a:defRPr/>
            </a:pPr>
            <a:r>
              <a:rPr lang="en-US"/>
              <a:t>Income</a:t>
            </a:r>
          </a:p>
        </c:rich>
      </c:tx>
      <c:layout>
        <c:manualLayout>
          <c:xMode val="edge"/>
          <c:yMode val="edge"/>
          <c:x val="3.2199100112485932E-2"/>
          <c:y val="0.156242876588317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76717616180329"/>
          <c:y val="8.8706028863509173E-2"/>
          <c:w val="0.65999714144642807"/>
          <c:h val="0.80534410556000613"/>
        </c:manualLayout>
      </c:layout>
      <c:barChart>
        <c:barDir val="bar"/>
        <c:grouping val="clustered"/>
        <c:varyColors val="0"/>
        <c:ser>
          <c:idx val="0"/>
          <c:order val="0"/>
          <c:tx>
            <c:strRef>
              <c:f>PivotTable!$B$38:$B$39</c:f>
              <c:strCache>
                <c:ptCount val="1"/>
                <c:pt idx="0">
                  <c:v>Female</c:v>
                </c:pt>
              </c:strCache>
            </c:strRef>
          </c:tx>
          <c:spPr>
            <a:solidFill>
              <a:schemeClr val="accent1"/>
            </a:solidFill>
            <a:ln>
              <a:noFill/>
            </a:ln>
            <a:effectLst/>
          </c:spPr>
          <c:invertIfNegative val="0"/>
          <c:cat>
            <c:strRef>
              <c:f>PivotTable!$A$40:$A$45</c:f>
              <c:strCache>
                <c:ptCount val="5"/>
                <c:pt idx="0">
                  <c:v>Low</c:v>
                </c:pt>
                <c:pt idx="1">
                  <c:v>High</c:v>
                </c:pt>
                <c:pt idx="2">
                  <c:v>Poverty</c:v>
                </c:pt>
                <c:pt idx="3">
                  <c:v>Average</c:v>
                </c:pt>
                <c:pt idx="4">
                  <c:v>Very High</c:v>
                </c:pt>
              </c:strCache>
            </c:strRef>
          </c:cat>
          <c:val>
            <c:numRef>
              <c:f>PivotTable!$B$40:$B$45</c:f>
              <c:numCache>
                <c:formatCode>General</c:formatCode>
                <c:ptCount val="5"/>
                <c:pt idx="0">
                  <c:v>201</c:v>
                </c:pt>
                <c:pt idx="1">
                  <c:v>42</c:v>
                </c:pt>
                <c:pt idx="2">
                  <c:v>42</c:v>
                </c:pt>
                <c:pt idx="3">
                  <c:v>201</c:v>
                </c:pt>
                <c:pt idx="4">
                  <c:v>3</c:v>
                </c:pt>
              </c:numCache>
            </c:numRef>
          </c:val>
          <c:extLst>
            <c:ext xmlns:c16="http://schemas.microsoft.com/office/drawing/2014/chart" uri="{C3380CC4-5D6E-409C-BE32-E72D297353CC}">
              <c16:uniqueId val="{00000000-73F5-428C-BD9B-BB1A05FEE156}"/>
            </c:ext>
          </c:extLst>
        </c:ser>
        <c:ser>
          <c:idx val="1"/>
          <c:order val="1"/>
          <c:tx>
            <c:strRef>
              <c:f>PivotTable!$C$38:$C$39</c:f>
              <c:strCache>
                <c:ptCount val="1"/>
                <c:pt idx="0">
                  <c:v>Male</c:v>
                </c:pt>
              </c:strCache>
            </c:strRef>
          </c:tx>
          <c:spPr>
            <a:solidFill>
              <a:schemeClr val="accent2"/>
            </a:solidFill>
            <a:ln>
              <a:noFill/>
            </a:ln>
            <a:effectLst/>
          </c:spPr>
          <c:invertIfNegative val="0"/>
          <c:cat>
            <c:strRef>
              <c:f>PivotTable!$A$40:$A$45</c:f>
              <c:strCache>
                <c:ptCount val="5"/>
                <c:pt idx="0">
                  <c:v>Low</c:v>
                </c:pt>
                <c:pt idx="1">
                  <c:v>High</c:v>
                </c:pt>
                <c:pt idx="2">
                  <c:v>Poverty</c:v>
                </c:pt>
                <c:pt idx="3">
                  <c:v>Average</c:v>
                </c:pt>
                <c:pt idx="4">
                  <c:v>Very High</c:v>
                </c:pt>
              </c:strCache>
            </c:strRef>
          </c:cat>
          <c:val>
            <c:numRef>
              <c:f>PivotTable!$C$40:$C$45</c:f>
              <c:numCache>
                <c:formatCode>General</c:formatCode>
                <c:ptCount val="5"/>
                <c:pt idx="0">
                  <c:v>202</c:v>
                </c:pt>
                <c:pt idx="1">
                  <c:v>53</c:v>
                </c:pt>
                <c:pt idx="2">
                  <c:v>31</c:v>
                </c:pt>
                <c:pt idx="3">
                  <c:v>218</c:v>
                </c:pt>
                <c:pt idx="4">
                  <c:v>7</c:v>
                </c:pt>
              </c:numCache>
            </c:numRef>
          </c:val>
          <c:extLst>
            <c:ext xmlns:c16="http://schemas.microsoft.com/office/drawing/2014/chart" uri="{C3380CC4-5D6E-409C-BE32-E72D297353CC}">
              <c16:uniqueId val="{00000001-73F5-428C-BD9B-BB1A05FEE156}"/>
            </c:ext>
          </c:extLst>
        </c:ser>
        <c:dLbls>
          <c:showLegendKey val="0"/>
          <c:showVal val="0"/>
          <c:showCatName val="0"/>
          <c:showSerName val="0"/>
          <c:showPercent val="0"/>
          <c:showBubbleSize val="0"/>
        </c:dLbls>
        <c:gapWidth val="150"/>
        <c:axId val="287279296"/>
        <c:axId val="287277376"/>
      </c:barChart>
      <c:catAx>
        <c:axId val="28727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277376"/>
        <c:crosses val="autoZero"/>
        <c:auto val="1"/>
        <c:lblAlgn val="ctr"/>
        <c:lblOffset val="100"/>
        <c:noMultiLvlLbl val="0"/>
      </c:catAx>
      <c:valAx>
        <c:axId val="287277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279296"/>
        <c:crosses val="autoZero"/>
        <c:crossBetween val="between"/>
      </c:valAx>
      <c:spPr>
        <a:noFill/>
        <a:ln>
          <a:noFill/>
        </a:ln>
        <a:effectLst/>
      </c:spPr>
    </c:plotArea>
    <c:legend>
      <c:legendPos val="r"/>
      <c:layout>
        <c:manualLayout>
          <c:xMode val="edge"/>
          <c:yMode val="edge"/>
          <c:x val="3.6200495049504976E-2"/>
          <c:y val="0.62772904007346475"/>
          <c:w val="6.3663918936198674E-2"/>
          <c:h val="0.238157809898833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Portfolio.xlsx]PivotTable!PivotTable7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Bracket</a:t>
            </a:r>
          </a:p>
        </c:rich>
      </c:tx>
      <c:layout>
        <c:manualLayout>
          <c:xMode val="edge"/>
          <c:yMode val="edge"/>
          <c:x val="0.38673522291195078"/>
          <c:y val="2.91256766220930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0200141920371"/>
          <c:y val="0.14784430001112703"/>
          <c:w val="0.65969140868792053"/>
          <c:h val="0.65883519547587721"/>
        </c:manualLayout>
      </c:layout>
      <c:barChart>
        <c:barDir val="col"/>
        <c:grouping val="clustered"/>
        <c:varyColors val="0"/>
        <c:ser>
          <c:idx val="0"/>
          <c:order val="0"/>
          <c:tx>
            <c:strRef>
              <c:f>PivotTable!$B$57:$B$58</c:f>
              <c:strCache>
                <c:ptCount val="1"/>
                <c:pt idx="0">
                  <c:v>Married</c:v>
                </c:pt>
              </c:strCache>
            </c:strRef>
          </c:tx>
          <c:spPr>
            <a:solidFill>
              <a:schemeClr val="accent1"/>
            </a:solidFill>
            <a:ln>
              <a:noFill/>
            </a:ln>
            <a:effectLst/>
          </c:spPr>
          <c:invertIfNegative val="0"/>
          <c:cat>
            <c:strRef>
              <c:f>PivotTable!$A$59:$A$63</c:f>
              <c:strCache>
                <c:ptCount val="4"/>
                <c:pt idx="0">
                  <c:v>Adult (23+)</c:v>
                </c:pt>
                <c:pt idx="1">
                  <c:v>Middle Age (30+)</c:v>
                </c:pt>
                <c:pt idx="2">
                  <c:v>Elderly (45+)</c:v>
                </c:pt>
                <c:pt idx="3">
                  <c:v>Pension Age</c:v>
                </c:pt>
              </c:strCache>
            </c:strRef>
          </c:cat>
          <c:val>
            <c:numRef>
              <c:f>PivotTable!$B$59:$B$63</c:f>
              <c:numCache>
                <c:formatCode>General</c:formatCode>
                <c:ptCount val="4"/>
                <c:pt idx="0">
                  <c:v>30</c:v>
                </c:pt>
                <c:pt idx="1">
                  <c:v>217</c:v>
                </c:pt>
                <c:pt idx="2">
                  <c:v>215</c:v>
                </c:pt>
                <c:pt idx="3">
                  <c:v>76</c:v>
                </c:pt>
              </c:numCache>
            </c:numRef>
          </c:val>
          <c:extLst>
            <c:ext xmlns:c16="http://schemas.microsoft.com/office/drawing/2014/chart" uri="{C3380CC4-5D6E-409C-BE32-E72D297353CC}">
              <c16:uniqueId val="{00000006-4EF5-4D12-BE74-F72873DF21C4}"/>
            </c:ext>
          </c:extLst>
        </c:ser>
        <c:ser>
          <c:idx val="1"/>
          <c:order val="1"/>
          <c:tx>
            <c:strRef>
              <c:f>PivotTable!$C$57:$C$58</c:f>
              <c:strCache>
                <c:ptCount val="1"/>
                <c:pt idx="0">
                  <c:v>Single</c:v>
                </c:pt>
              </c:strCache>
            </c:strRef>
          </c:tx>
          <c:spPr>
            <a:solidFill>
              <a:schemeClr val="accent2"/>
            </a:solidFill>
            <a:ln>
              <a:noFill/>
            </a:ln>
            <a:effectLst/>
          </c:spPr>
          <c:invertIfNegative val="0"/>
          <c:cat>
            <c:strRef>
              <c:f>PivotTable!$A$59:$A$63</c:f>
              <c:strCache>
                <c:ptCount val="4"/>
                <c:pt idx="0">
                  <c:v>Adult (23+)</c:v>
                </c:pt>
                <c:pt idx="1">
                  <c:v>Middle Age (30+)</c:v>
                </c:pt>
                <c:pt idx="2">
                  <c:v>Elderly (45+)</c:v>
                </c:pt>
                <c:pt idx="3">
                  <c:v>Pension Age</c:v>
                </c:pt>
              </c:strCache>
            </c:strRef>
          </c:cat>
          <c:val>
            <c:numRef>
              <c:f>PivotTable!$C$59:$C$63</c:f>
              <c:numCache>
                <c:formatCode>General</c:formatCode>
                <c:ptCount val="4"/>
                <c:pt idx="0">
                  <c:v>53</c:v>
                </c:pt>
                <c:pt idx="1">
                  <c:v>251</c:v>
                </c:pt>
                <c:pt idx="2">
                  <c:v>119</c:v>
                </c:pt>
                <c:pt idx="3">
                  <c:v>39</c:v>
                </c:pt>
              </c:numCache>
            </c:numRef>
          </c:val>
          <c:extLst>
            <c:ext xmlns:c16="http://schemas.microsoft.com/office/drawing/2014/chart" uri="{C3380CC4-5D6E-409C-BE32-E72D297353CC}">
              <c16:uniqueId val="{0000000E-4EF5-4D12-BE74-F72873DF21C4}"/>
            </c:ext>
          </c:extLst>
        </c:ser>
        <c:dLbls>
          <c:showLegendKey val="0"/>
          <c:showVal val="0"/>
          <c:showCatName val="0"/>
          <c:showSerName val="0"/>
          <c:showPercent val="0"/>
          <c:showBubbleSize val="0"/>
        </c:dLbls>
        <c:gapWidth val="219"/>
        <c:overlap val="-27"/>
        <c:axId val="839921776"/>
        <c:axId val="839938576"/>
      </c:barChart>
      <c:catAx>
        <c:axId val="83992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938576"/>
        <c:crosses val="autoZero"/>
        <c:auto val="1"/>
        <c:lblAlgn val="ctr"/>
        <c:lblOffset val="100"/>
        <c:noMultiLvlLbl val="0"/>
      </c:catAx>
      <c:valAx>
        <c:axId val="83993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921776"/>
        <c:crosses val="autoZero"/>
        <c:crossBetween val="between"/>
      </c:valAx>
      <c:spPr>
        <a:noFill/>
        <a:ln>
          <a:noFill/>
        </a:ln>
        <a:effectLst/>
      </c:spPr>
    </c:plotArea>
    <c:legend>
      <c:legendPos val="r"/>
      <c:layout>
        <c:manualLayout>
          <c:xMode val="edge"/>
          <c:yMode val="edge"/>
          <c:x val="0.80698359366316996"/>
          <c:y val="0.14216591068261106"/>
          <c:w val="0.14009197530036174"/>
          <c:h val="0.200664022358801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[Bike Sales Dashboard Portfolio.xlsx]PivotTable!PivotTable8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a:t>
            </a:r>
            <a:r>
              <a:rPr lang="en-US" baseline="0"/>
              <a:t> of Each Income Bracket</a:t>
            </a:r>
          </a:p>
          <a:p>
            <a:pPr>
              <a:defRPr/>
            </a:pPr>
            <a:r>
              <a:rPr lang="en-US" baseline="0"/>
              <a:t>from Various Region</a:t>
            </a:r>
            <a:endParaRPr lang="en-US"/>
          </a:p>
        </c:rich>
      </c:tx>
      <c:layout>
        <c:manualLayout>
          <c:xMode val="edge"/>
          <c:yMode val="edge"/>
          <c:x val="0.26289876265466816"/>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248031496062996E-2"/>
          <c:y val="0.22666447944006998"/>
          <c:w val="0.70127577802774654"/>
          <c:h val="0.51094634004082828"/>
        </c:manualLayout>
      </c:layout>
      <c:lineChart>
        <c:grouping val="percentStacked"/>
        <c:varyColors val="0"/>
        <c:ser>
          <c:idx val="0"/>
          <c:order val="0"/>
          <c:tx>
            <c:strRef>
              <c:f>PivotTable!$B$76:$B$77</c:f>
              <c:strCache>
                <c:ptCount val="1"/>
                <c:pt idx="0">
                  <c:v>Poverty</c:v>
                </c:pt>
              </c:strCache>
            </c:strRef>
          </c:tx>
          <c:spPr>
            <a:ln w="28575" cap="rnd">
              <a:solidFill>
                <a:schemeClr val="accent2">
                  <a:shade val="53000"/>
                </a:schemeClr>
              </a:solidFill>
              <a:round/>
            </a:ln>
            <a:effectLst/>
          </c:spPr>
          <c:marker>
            <c:symbol val="none"/>
          </c:marker>
          <c:cat>
            <c:multiLvlStrRef>
              <c:f>PivotTable!$A$78:$A$84</c:f>
              <c:multiLvlStrCache>
                <c:ptCount val="3"/>
                <c:lvl>
                  <c:pt idx="0">
                    <c:v>Yes</c:v>
                  </c:pt>
                  <c:pt idx="1">
                    <c:v>Yes</c:v>
                  </c:pt>
                  <c:pt idx="2">
                    <c:v>Yes</c:v>
                  </c:pt>
                </c:lvl>
                <c:lvl>
                  <c:pt idx="0">
                    <c:v>Europe</c:v>
                  </c:pt>
                  <c:pt idx="1">
                    <c:v>North America</c:v>
                  </c:pt>
                  <c:pt idx="2">
                    <c:v>Pacific</c:v>
                  </c:pt>
                </c:lvl>
              </c:multiLvlStrCache>
            </c:multiLvlStrRef>
          </c:cat>
          <c:val>
            <c:numRef>
              <c:f>PivotTable!$B$78:$B$84</c:f>
              <c:numCache>
                <c:formatCode>0.00%</c:formatCode>
                <c:ptCount val="3"/>
                <c:pt idx="0">
                  <c:v>0.6785714285714286</c:v>
                </c:pt>
                <c:pt idx="1">
                  <c:v>3.5714285714285712E-2</c:v>
                </c:pt>
                <c:pt idx="2">
                  <c:v>0.2857142857142857</c:v>
                </c:pt>
              </c:numCache>
            </c:numRef>
          </c:val>
          <c:smooth val="0"/>
          <c:extLst>
            <c:ext xmlns:c16="http://schemas.microsoft.com/office/drawing/2014/chart" uri="{C3380CC4-5D6E-409C-BE32-E72D297353CC}">
              <c16:uniqueId val="{00000000-E933-44C9-B782-7514E0FCEC81}"/>
            </c:ext>
          </c:extLst>
        </c:ser>
        <c:ser>
          <c:idx val="1"/>
          <c:order val="1"/>
          <c:tx>
            <c:strRef>
              <c:f>PivotTable!$C$76:$C$77</c:f>
              <c:strCache>
                <c:ptCount val="1"/>
                <c:pt idx="0">
                  <c:v>Low</c:v>
                </c:pt>
              </c:strCache>
            </c:strRef>
          </c:tx>
          <c:spPr>
            <a:ln w="28575" cap="rnd">
              <a:solidFill>
                <a:schemeClr val="accent2">
                  <a:shade val="76000"/>
                </a:schemeClr>
              </a:solidFill>
              <a:round/>
            </a:ln>
            <a:effectLst/>
          </c:spPr>
          <c:marker>
            <c:symbol val="none"/>
          </c:marker>
          <c:cat>
            <c:multiLvlStrRef>
              <c:f>PivotTable!$A$78:$A$84</c:f>
              <c:multiLvlStrCache>
                <c:ptCount val="3"/>
                <c:lvl>
                  <c:pt idx="0">
                    <c:v>Yes</c:v>
                  </c:pt>
                  <c:pt idx="1">
                    <c:v>Yes</c:v>
                  </c:pt>
                  <c:pt idx="2">
                    <c:v>Yes</c:v>
                  </c:pt>
                </c:lvl>
                <c:lvl>
                  <c:pt idx="0">
                    <c:v>Europe</c:v>
                  </c:pt>
                  <c:pt idx="1">
                    <c:v>North America</c:v>
                  </c:pt>
                  <c:pt idx="2">
                    <c:v>Pacific</c:v>
                  </c:pt>
                </c:lvl>
              </c:multiLvlStrCache>
            </c:multiLvlStrRef>
          </c:cat>
          <c:val>
            <c:numRef>
              <c:f>PivotTable!$C$78:$C$84</c:f>
              <c:numCache>
                <c:formatCode>0.00%</c:formatCode>
                <c:ptCount val="3"/>
                <c:pt idx="0">
                  <c:v>0.54871794871794877</c:v>
                </c:pt>
                <c:pt idx="1">
                  <c:v>0.28205128205128205</c:v>
                </c:pt>
                <c:pt idx="2">
                  <c:v>0.16923076923076924</c:v>
                </c:pt>
              </c:numCache>
            </c:numRef>
          </c:val>
          <c:smooth val="0"/>
          <c:extLst>
            <c:ext xmlns:c16="http://schemas.microsoft.com/office/drawing/2014/chart" uri="{C3380CC4-5D6E-409C-BE32-E72D297353CC}">
              <c16:uniqueId val="{00000001-E933-44C9-B782-7514E0FCEC81}"/>
            </c:ext>
          </c:extLst>
        </c:ser>
        <c:ser>
          <c:idx val="2"/>
          <c:order val="2"/>
          <c:tx>
            <c:strRef>
              <c:f>PivotTable!$D$76:$D$77</c:f>
              <c:strCache>
                <c:ptCount val="1"/>
                <c:pt idx="0">
                  <c:v>Average</c:v>
                </c:pt>
              </c:strCache>
            </c:strRef>
          </c:tx>
          <c:spPr>
            <a:ln w="28575" cap="rnd">
              <a:solidFill>
                <a:schemeClr val="accent2"/>
              </a:solidFill>
              <a:round/>
            </a:ln>
            <a:effectLst/>
          </c:spPr>
          <c:marker>
            <c:symbol val="none"/>
          </c:marker>
          <c:cat>
            <c:multiLvlStrRef>
              <c:f>PivotTable!$A$78:$A$84</c:f>
              <c:multiLvlStrCache>
                <c:ptCount val="3"/>
                <c:lvl>
                  <c:pt idx="0">
                    <c:v>Yes</c:v>
                  </c:pt>
                  <c:pt idx="1">
                    <c:v>Yes</c:v>
                  </c:pt>
                  <c:pt idx="2">
                    <c:v>Yes</c:v>
                  </c:pt>
                </c:lvl>
                <c:lvl>
                  <c:pt idx="0">
                    <c:v>Europe</c:v>
                  </c:pt>
                  <c:pt idx="1">
                    <c:v>North America</c:v>
                  </c:pt>
                  <c:pt idx="2">
                    <c:v>Pacific</c:v>
                  </c:pt>
                </c:lvl>
              </c:multiLvlStrCache>
            </c:multiLvlStrRef>
          </c:cat>
          <c:val>
            <c:numRef>
              <c:f>PivotTable!$D$78:$D$84</c:f>
              <c:numCache>
                <c:formatCode>0.00%</c:formatCode>
                <c:ptCount val="3"/>
                <c:pt idx="0">
                  <c:v>3.864734299516908E-2</c:v>
                </c:pt>
                <c:pt idx="1">
                  <c:v>0.71497584541062797</c:v>
                </c:pt>
                <c:pt idx="2">
                  <c:v>0.24637681159420291</c:v>
                </c:pt>
              </c:numCache>
            </c:numRef>
          </c:val>
          <c:smooth val="0"/>
          <c:extLst>
            <c:ext xmlns:c16="http://schemas.microsoft.com/office/drawing/2014/chart" uri="{C3380CC4-5D6E-409C-BE32-E72D297353CC}">
              <c16:uniqueId val="{00000002-E933-44C9-B782-7514E0FCEC81}"/>
            </c:ext>
          </c:extLst>
        </c:ser>
        <c:ser>
          <c:idx val="3"/>
          <c:order val="3"/>
          <c:tx>
            <c:strRef>
              <c:f>PivotTable!$E$76:$E$77</c:f>
              <c:strCache>
                <c:ptCount val="1"/>
                <c:pt idx="0">
                  <c:v>High</c:v>
                </c:pt>
              </c:strCache>
            </c:strRef>
          </c:tx>
          <c:spPr>
            <a:ln w="28575" cap="rnd">
              <a:solidFill>
                <a:schemeClr val="accent2">
                  <a:tint val="77000"/>
                </a:schemeClr>
              </a:solidFill>
              <a:round/>
            </a:ln>
            <a:effectLst/>
          </c:spPr>
          <c:marker>
            <c:symbol val="none"/>
          </c:marker>
          <c:cat>
            <c:multiLvlStrRef>
              <c:f>PivotTable!$A$78:$A$84</c:f>
              <c:multiLvlStrCache>
                <c:ptCount val="3"/>
                <c:lvl>
                  <c:pt idx="0">
                    <c:v>Yes</c:v>
                  </c:pt>
                  <c:pt idx="1">
                    <c:v>Yes</c:v>
                  </c:pt>
                  <c:pt idx="2">
                    <c:v>Yes</c:v>
                  </c:pt>
                </c:lvl>
                <c:lvl>
                  <c:pt idx="0">
                    <c:v>Europe</c:v>
                  </c:pt>
                  <c:pt idx="1">
                    <c:v>North America</c:v>
                  </c:pt>
                  <c:pt idx="2">
                    <c:v>Pacific</c:v>
                  </c:pt>
                </c:lvl>
              </c:multiLvlStrCache>
            </c:multiLvlStrRef>
          </c:cat>
          <c:val>
            <c:numRef>
              <c:f>PivotTable!$E$78:$E$84</c:f>
              <c:numCache>
                <c:formatCode>0.00%</c:formatCode>
                <c:ptCount val="3"/>
                <c:pt idx="0">
                  <c:v>0.25</c:v>
                </c:pt>
                <c:pt idx="1">
                  <c:v>0.34090909090909088</c:v>
                </c:pt>
                <c:pt idx="2">
                  <c:v>0.40909090909090912</c:v>
                </c:pt>
              </c:numCache>
            </c:numRef>
          </c:val>
          <c:smooth val="0"/>
          <c:extLst>
            <c:ext xmlns:c16="http://schemas.microsoft.com/office/drawing/2014/chart" uri="{C3380CC4-5D6E-409C-BE32-E72D297353CC}">
              <c16:uniqueId val="{00000003-E933-44C9-B782-7514E0FCEC81}"/>
            </c:ext>
          </c:extLst>
        </c:ser>
        <c:ser>
          <c:idx val="4"/>
          <c:order val="4"/>
          <c:tx>
            <c:strRef>
              <c:f>PivotTable!$F$76:$F$77</c:f>
              <c:strCache>
                <c:ptCount val="1"/>
                <c:pt idx="0">
                  <c:v>Very High</c:v>
                </c:pt>
              </c:strCache>
            </c:strRef>
          </c:tx>
          <c:spPr>
            <a:ln w="28575" cap="rnd">
              <a:solidFill>
                <a:schemeClr val="accent2">
                  <a:tint val="54000"/>
                </a:schemeClr>
              </a:solidFill>
              <a:round/>
            </a:ln>
            <a:effectLst/>
          </c:spPr>
          <c:marker>
            <c:symbol val="none"/>
          </c:marker>
          <c:cat>
            <c:multiLvlStrRef>
              <c:f>PivotTable!$A$78:$A$84</c:f>
              <c:multiLvlStrCache>
                <c:ptCount val="3"/>
                <c:lvl>
                  <c:pt idx="0">
                    <c:v>Yes</c:v>
                  </c:pt>
                  <c:pt idx="1">
                    <c:v>Yes</c:v>
                  </c:pt>
                  <c:pt idx="2">
                    <c:v>Yes</c:v>
                  </c:pt>
                </c:lvl>
                <c:lvl>
                  <c:pt idx="0">
                    <c:v>Europe</c:v>
                  </c:pt>
                  <c:pt idx="1">
                    <c:v>North America</c:v>
                  </c:pt>
                  <c:pt idx="2">
                    <c:v>Pacific</c:v>
                  </c:pt>
                </c:lvl>
              </c:multiLvlStrCache>
            </c:multiLvlStrRef>
          </c:cat>
          <c:val>
            <c:numRef>
              <c:f>PivotTable!$F$78:$F$84</c:f>
              <c:numCache>
                <c:formatCode>0.00%</c:formatCode>
                <c:ptCount val="3"/>
                <c:pt idx="0">
                  <c:v>0.42857142857142855</c:v>
                </c:pt>
                <c:pt idx="1">
                  <c:v>0.14285714285714285</c:v>
                </c:pt>
                <c:pt idx="2">
                  <c:v>0.42857142857142855</c:v>
                </c:pt>
              </c:numCache>
            </c:numRef>
          </c:val>
          <c:smooth val="0"/>
          <c:extLst>
            <c:ext xmlns:c16="http://schemas.microsoft.com/office/drawing/2014/chart" uri="{C3380CC4-5D6E-409C-BE32-E72D297353CC}">
              <c16:uniqueId val="{00000005-E933-44C9-B782-7514E0FCEC81}"/>
            </c:ext>
          </c:extLst>
        </c:ser>
        <c:dLbls>
          <c:showLegendKey val="0"/>
          <c:showVal val="0"/>
          <c:showCatName val="0"/>
          <c:showSerName val="0"/>
          <c:showPercent val="0"/>
          <c:showBubbleSize val="0"/>
        </c:dLbls>
        <c:smooth val="0"/>
        <c:axId val="276341680"/>
        <c:axId val="276342160"/>
      </c:lineChart>
      <c:catAx>
        <c:axId val="27634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342160"/>
        <c:crosses val="autoZero"/>
        <c:auto val="1"/>
        <c:lblAlgn val="ctr"/>
        <c:lblOffset val="100"/>
        <c:noMultiLvlLbl val="0"/>
      </c:catAx>
      <c:valAx>
        <c:axId val="276342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341680"/>
        <c:crosses val="autoZero"/>
        <c:crossBetween val="between"/>
      </c:valAx>
      <c:spPr>
        <a:noFill/>
        <a:ln>
          <a:noFill/>
        </a:ln>
        <a:effectLst/>
      </c:spPr>
    </c:plotArea>
    <c:legend>
      <c:legendPos val="r"/>
      <c:layout>
        <c:manualLayout>
          <c:xMode val="edge"/>
          <c:yMode val="edge"/>
          <c:x val="0.80833333333333335"/>
          <c:y val="0.24137685914260718"/>
          <c:w val="0.17804483142596975"/>
          <c:h val="0.451352806152882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Portfolio.xlsx]PivotTable!PivotTable9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 Status</a:t>
            </a:r>
          </a:p>
        </c:rich>
      </c:tx>
      <c:layout>
        <c:manualLayout>
          <c:xMode val="edge"/>
          <c:yMode val="edge"/>
          <c:x val="0.38690966754155726"/>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PivotTable!$K$76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PivotTable!$J$77:$J$79</c:f>
              <c:strCache>
                <c:ptCount val="2"/>
                <c:pt idx="0">
                  <c:v>Married</c:v>
                </c:pt>
                <c:pt idx="1">
                  <c:v>Single</c:v>
                </c:pt>
              </c:strCache>
            </c:strRef>
          </c:cat>
          <c:val>
            <c:numRef>
              <c:f>PivotTable!$K$77:$K$79</c:f>
              <c:numCache>
                <c:formatCode>General</c:formatCode>
                <c:ptCount val="2"/>
                <c:pt idx="0">
                  <c:v>538</c:v>
                </c:pt>
                <c:pt idx="1">
                  <c:v>462</c:v>
                </c:pt>
              </c:numCache>
            </c:numRef>
          </c:val>
          <c:extLst>
            <c:ext xmlns:c16="http://schemas.microsoft.com/office/drawing/2014/chart" uri="{C3380CC4-5D6E-409C-BE32-E72D297353CC}">
              <c16:uniqueId val="{00000000-1676-40AB-938B-8D5A6DE160D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Portfolio.xlsx]PivotTable!PivotTable6</c:name>
    <c:fmtId val="6"/>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b="1"/>
              <a:t>Gender</a:t>
            </a:r>
            <a:r>
              <a:rPr lang="en-US" sz="1400" b="1" baseline="0"/>
              <a:t> and Income</a:t>
            </a:r>
            <a:endParaRPr lang="en-US" sz="1400" b="1"/>
          </a:p>
        </c:rich>
      </c:tx>
      <c:layout>
        <c:manualLayout>
          <c:xMode val="edge"/>
          <c:yMode val="edge"/>
          <c:x val="0.37848502007971557"/>
          <c:y val="4.5984784349024165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66031208909936"/>
          <c:y val="0.15353459721804169"/>
          <c:w val="0.7097117542774799"/>
          <c:h val="0.75052559547823861"/>
        </c:manualLayout>
      </c:layout>
      <c:barChart>
        <c:barDir val="bar"/>
        <c:grouping val="clustered"/>
        <c:varyColors val="0"/>
        <c:ser>
          <c:idx val="0"/>
          <c:order val="0"/>
          <c:tx>
            <c:strRef>
              <c:f>PivotTable!$B$38:$B$39</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PivotTable!$A$40:$A$45</c:f>
              <c:strCache>
                <c:ptCount val="5"/>
                <c:pt idx="0">
                  <c:v>Low</c:v>
                </c:pt>
                <c:pt idx="1">
                  <c:v>High</c:v>
                </c:pt>
                <c:pt idx="2">
                  <c:v>Poverty</c:v>
                </c:pt>
                <c:pt idx="3">
                  <c:v>Average</c:v>
                </c:pt>
                <c:pt idx="4">
                  <c:v>Very High</c:v>
                </c:pt>
              </c:strCache>
            </c:strRef>
          </c:cat>
          <c:val>
            <c:numRef>
              <c:f>PivotTable!$B$40:$B$45</c:f>
              <c:numCache>
                <c:formatCode>General</c:formatCode>
                <c:ptCount val="5"/>
                <c:pt idx="0">
                  <c:v>201</c:v>
                </c:pt>
                <c:pt idx="1">
                  <c:v>42</c:v>
                </c:pt>
                <c:pt idx="2">
                  <c:v>42</c:v>
                </c:pt>
                <c:pt idx="3">
                  <c:v>201</c:v>
                </c:pt>
                <c:pt idx="4">
                  <c:v>3</c:v>
                </c:pt>
              </c:numCache>
            </c:numRef>
          </c:val>
          <c:extLst>
            <c:ext xmlns:c16="http://schemas.microsoft.com/office/drawing/2014/chart" uri="{C3380CC4-5D6E-409C-BE32-E72D297353CC}">
              <c16:uniqueId val="{00000000-B8A3-4880-86B0-EDF6B1EF43FA}"/>
            </c:ext>
          </c:extLst>
        </c:ser>
        <c:ser>
          <c:idx val="1"/>
          <c:order val="1"/>
          <c:tx>
            <c:strRef>
              <c:f>PivotTable!$C$38:$C$39</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PivotTable!$A$40:$A$45</c:f>
              <c:strCache>
                <c:ptCount val="5"/>
                <c:pt idx="0">
                  <c:v>Low</c:v>
                </c:pt>
                <c:pt idx="1">
                  <c:v>High</c:v>
                </c:pt>
                <c:pt idx="2">
                  <c:v>Poverty</c:v>
                </c:pt>
                <c:pt idx="3">
                  <c:v>Average</c:v>
                </c:pt>
                <c:pt idx="4">
                  <c:v>Very High</c:v>
                </c:pt>
              </c:strCache>
            </c:strRef>
          </c:cat>
          <c:val>
            <c:numRef>
              <c:f>PivotTable!$C$40:$C$45</c:f>
              <c:numCache>
                <c:formatCode>General</c:formatCode>
                <c:ptCount val="5"/>
                <c:pt idx="0">
                  <c:v>202</c:v>
                </c:pt>
                <c:pt idx="1">
                  <c:v>53</c:v>
                </c:pt>
                <c:pt idx="2">
                  <c:v>31</c:v>
                </c:pt>
                <c:pt idx="3">
                  <c:v>218</c:v>
                </c:pt>
                <c:pt idx="4">
                  <c:v>7</c:v>
                </c:pt>
              </c:numCache>
            </c:numRef>
          </c:val>
          <c:extLst>
            <c:ext xmlns:c16="http://schemas.microsoft.com/office/drawing/2014/chart" uri="{C3380CC4-5D6E-409C-BE32-E72D297353CC}">
              <c16:uniqueId val="{00000001-B8A3-4880-86B0-EDF6B1EF43FA}"/>
            </c:ext>
          </c:extLst>
        </c:ser>
        <c:dLbls>
          <c:showLegendKey val="0"/>
          <c:showVal val="0"/>
          <c:showCatName val="0"/>
          <c:showSerName val="0"/>
          <c:showPercent val="0"/>
          <c:showBubbleSize val="0"/>
        </c:dLbls>
        <c:gapWidth val="150"/>
        <c:axId val="287279296"/>
        <c:axId val="287277376"/>
      </c:barChart>
      <c:catAx>
        <c:axId val="287279296"/>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7277376"/>
        <c:crosses val="autoZero"/>
        <c:auto val="1"/>
        <c:lblAlgn val="ctr"/>
        <c:lblOffset val="100"/>
        <c:noMultiLvlLbl val="0"/>
      </c:catAx>
      <c:valAx>
        <c:axId val="28727737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7279296"/>
        <c:crosses val="autoZero"/>
        <c:crossBetween val="between"/>
      </c:valAx>
      <c:spPr>
        <a:noFill/>
        <a:ln>
          <a:noFill/>
        </a:ln>
        <a:effectLst/>
      </c:spPr>
    </c:plotArea>
    <c:legend>
      <c:legendPos val="r"/>
      <c:layout>
        <c:manualLayout>
          <c:xMode val="edge"/>
          <c:yMode val="edge"/>
          <c:x val="1.5367141607299087E-2"/>
          <c:y val="0.61149211984723284"/>
          <c:w val="7.8358193607123122E-2"/>
          <c:h val="0.182181887438499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Portfolio.xlsx]PivotTable!PivotTable2</c:name>
    <c:fmtId val="2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Background Information</a:t>
            </a:r>
          </a:p>
        </c:rich>
      </c:tx>
      <c:layout>
        <c:manualLayout>
          <c:xMode val="edge"/>
          <c:yMode val="edge"/>
          <c:x val="0.34253238506477013"/>
          <c:y val="2.69560899482159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741068893902491E-2"/>
          <c:y val="0.11735803035015632"/>
          <c:w val="0.76452521826612285"/>
          <c:h val="0.63780095408763082"/>
        </c:manualLayout>
      </c:layout>
      <c:barChart>
        <c:barDir val="col"/>
        <c:grouping val="clustered"/>
        <c:varyColors val="0"/>
        <c:ser>
          <c:idx val="0"/>
          <c:order val="0"/>
          <c:tx>
            <c:strRef>
              <c:f>PivotTable!$B$1:$B$2</c:f>
              <c:strCache>
                <c:ptCount val="1"/>
                <c:pt idx="0">
                  <c:v>No</c:v>
                </c:pt>
              </c:strCache>
            </c:strRef>
          </c:tx>
          <c:spPr>
            <a:solidFill>
              <a:schemeClr val="bg2">
                <a:lumMod val="90000"/>
              </a:schemeClr>
            </a:solidFill>
            <a:ln>
              <a:noFill/>
            </a:ln>
            <a:effectLst/>
          </c:spPr>
          <c:invertIfNegative val="0"/>
          <c:cat>
            <c:multiLvlStrRef>
              <c:f>PivotTable!$A$3:$A$15</c:f>
              <c:multiLvlStrCache>
                <c:ptCount val="10"/>
                <c:lvl>
                  <c:pt idx="0">
                    <c:v>Bachelors</c:v>
                  </c:pt>
                  <c:pt idx="1">
                    <c:v>Graduate Degree</c:v>
                  </c:pt>
                  <c:pt idx="2">
                    <c:v>Partial College</c:v>
                  </c:pt>
                  <c:pt idx="3">
                    <c:v>High School</c:v>
                  </c:pt>
                  <c:pt idx="4">
                    <c:v>Partial High School</c:v>
                  </c:pt>
                  <c:pt idx="5">
                    <c:v>Bachelors</c:v>
                  </c:pt>
                  <c:pt idx="6">
                    <c:v>Graduate Degree</c:v>
                  </c:pt>
                  <c:pt idx="7">
                    <c:v>Partial College</c:v>
                  </c:pt>
                  <c:pt idx="8">
                    <c:v>High School</c:v>
                  </c:pt>
                  <c:pt idx="9">
                    <c:v>Partial High School</c:v>
                  </c:pt>
                </c:lvl>
                <c:lvl>
                  <c:pt idx="0">
                    <c:v>Female</c:v>
                  </c:pt>
                  <c:pt idx="5">
                    <c:v>Male</c:v>
                  </c:pt>
                </c:lvl>
              </c:multiLvlStrCache>
            </c:multiLvlStrRef>
          </c:cat>
          <c:val>
            <c:numRef>
              <c:f>PivotTable!$B$3:$B$15</c:f>
              <c:numCache>
                <c:formatCode>_("$"* #,##0_);_("$"* \(#,##0\);_("$"* "-"??_);_(@_)</c:formatCode>
                <c:ptCount val="10"/>
                <c:pt idx="0">
                  <c:v>66818.181818181823</c:v>
                </c:pt>
                <c:pt idx="1">
                  <c:v>66000</c:v>
                </c:pt>
                <c:pt idx="2">
                  <c:v>49714.285714285717</c:v>
                </c:pt>
                <c:pt idx="3">
                  <c:v>43913.043478260872</c:v>
                </c:pt>
                <c:pt idx="4">
                  <c:v>28928.571428571428</c:v>
                </c:pt>
                <c:pt idx="5">
                  <c:v>65633.802816901414</c:v>
                </c:pt>
                <c:pt idx="6">
                  <c:v>70000</c:v>
                </c:pt>
                <c:pt idx="7">
                  <c:v>56184.210526315786</c:v>
                </c:pt>
                <c:pt idx="8">
                  <c:v>45925.925925925927</c:v>
                </c:pt>
                <c:pt idx="9">
                  <c:v>32500</c:v>
                </c:pt>
              </c:numCache>
            </c:numRef>
          </c:val>
          <c:extLst>
            <c:ext xmlns:c16="http://schemas.microsoft.com/office/drawing/2014/chart" uri="{C3380CC4-5D6E-409C-BE32-E72D297353CC}">
              <c16:uniqueId val="{00000000-BC30-4679-B0F0-3DDB69F15F54}"/>
            </c:ext>
          </c:extLst>
        </c:ser>
        <c:ser>
          <c:idx val="1"/>
          <c:order val="1"/>
          <c:tx>
            <c:strRef>
              <c:f>PivotTable!$C$1:$C$2</c:f>
              <c:strCache>
                <c:ptCount val="1"/>
                <c:pt idx="0">
                  <c:v>Yes</c:v>
                </c:pt>
              </c:strCache>
            </c:strRef>
          </c:tx>
          <c:spPr>
            <a:solidFill>
              <a:schemeClr val="accent5"/>
            </a:solidFill>
            <a:ln>
              <a:noFill/>
            </a:ln>
            <a:effectLst/>
          </c:spPr>
          <c:invertIfNegative val="0"/>
          <c:cat>
            <c:multiLvlStrRef>
              <c:f>PivotTable!$A$3:$A$15</c:f>
              <c:multiLvlStrCache>
                <c:ptCount val="10"/>
                <c:lvl>
                  <c:pt idx="0">
                    <c:v>Bachelors</c:v>
                  </c:pt>
                  <c:pt idx="1">
                    <c:v>Graduate Degree</c:v>
                  </c:pt>
                  <c:pt idx="2">
                    <c:v>Partial College</c:v>
                  </c:pt>
                  <c:pt idx="3">
                    <c:v>High School</c:v>
                  </c:pt>
                  <c:pt idx="4">
                    <c:v>Partial High School</c:v>
                  </c:pt>
                  <c:pt idx="5">
                    <c:v>Bachelors</c:v>
                  </c:pt>
                  <c:pt idx="6">
                    <c:v>Graduate Degree</c:v>
                  </c:pt>
                  <c:pt idx="7">
                    <c:v>Partial College</c:v>
                  </c:pt>
                  <c:pt idx="8">
                    <c:v>High School</c:v>
                  </c:pt>
                  <c:pt idx="9">
                    <c:v>Partial High School</c:v>
                  </c:pt>
                </c:lvl>
                <c:lvl>
                  <c:pt idx="0">
                    <c:v>Female</c:v>
                  </c:pt>
                  <c:pt idx="5">
                    <c:v>Male</c:v>
                  </c:pt>
                </c:lvl>
              </c:multiLvlStrCache>
            </c:multiLvlStrRef>
          </c:cat>
          <c:val>
            <c:numRef>
              <c:f>PivotTable!$C$3:$C$15</c:f>
              <c:numCache>
                <c:formatCode>_("$"* #,##0_);_("$"* \(#,##0\);_("$"* "-"??_);_(@_)</c:formatCode>
                <c:ptCount val="10"/>
                <c:pt idx="0">
                  <c:v>61625</c:v>
                </c:pt>
                <c:pt idx="1">
                  <c:v>61698.113207547169</c:v>
                </c:pt>
                <c:pt idx="2">
                  <c:v>52741.93548387097</c:v>
                </c:pt>
                <c:pt idx="3">
                  <c:v>45294.117647058825</c:v>
                </c:pt>
                <c:pt idx="4">
                  <c:v>32000</c:v>
                </c:pt>
                <c:pt idx="5">
                  <c:v>59325.84269662921</c:v>
                </c:pt>
                <c:pt idx="6">
                  <c:v>68048.780487804877</c:v>
                </c:pt>
                <c:pt idx="7">
                  <c:v>61052.631578947367</c:v>
                </c:pt>
                <c:pt idx="8">
                  <c:v>53777.777777777781</c:v>
                </c:pt>
                <c:pt idx="9">
                  <c:v>58000</c:v>
                </c:pt>
              </c:numCache>
            </c:numRef>
          </c:val>
          <c:extLst>
            <c:ext xmlns:c16="http://schemas.microsoft.com/office/drawing/2014/chart" uri="{C3380CC4-5D6E-409C-BE32-E72D297353CC}">
              <c16:uniqueId val="{00000001-BC30-4679-B0F0-3DDB69F15F54}"/>
            </c:ext>
          </c:extLst>
        </c:ser>
        <c:dLbls>
          <c:showLegendKey val="0"/>
          <c:showVal val="0"/>
          <c:showCatName val="0"/>
          <c:showSerName val="0"/>
          <c:showPercent val="0"/>
          <c:showBubbleSize val="0"/>
        </c:dLbls>
        <c:gapWidth val="150"/>
        <c:axId val="2074028576"/>
        <c:axId val="82061264"/>
      </c:barChart>
      <c:catAx>
        <c:axId val="207402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61264"/>
        <c:crosses val="autoZero"/>
        <c:auto val="1"/>
        <c:lblAlgn val="ctr"/>
        <c:lblOffset val="100"/>
        <c:noMultiLvlLbl val="0"/>
      </c:catAx>
      <c:valAx>
        <c:axId val="8206126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28576"/>
        <c:crosses val="autoZero"/>
        <c:crossBetween val="between"/>
      </c:valAx>
      <c:spPr>
        <a:noFill/>
        <a:ln>
          <a:noFill/>
        </a:ln>
        <a:effectLst/>
      </c:spPr>
    </c:plotArea>
    <c:legend>
      <c:legendPos val="r"/>
      <c:layout>
        <c:manualLayout>
          <c:xMode val="edge"/>
          <c:yMode val="edge"/>
          <c:x val="0.86799410437505065"/>
          <c:y val="0.42198412574844973"/>
          <c:w val="0.1084070796460177"/>
          <c:h val="0.17047332494061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Sales Dashboard Portfolio.xlsx]PivotTable!PivotTable7</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Age Bracket</a:t>
            </a:r>
            <a:endParaRPr lang="en-US" sz="1400" b="1" baseline="0"/>
          </a:p>
        </c:rich>
      </c:tx>
      <c:layout>
        <c:manualLayout>
          <c:xMode val="edge"/>
          <c:yMode val="edge"/>
          <c:x val="0.41538726504637891"/>
          <c:y val="3.81893041762037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pivotFmt>
      <c:pivotFmt>
        <c:idx val="2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788952527895281E-2"/>
          <c:y val="0.14784437697406466"/>
          <c:w val="0.83293570534950723"/>
          <c:h val="0.60209322463616854"/>
        </c:manualLayout>
      </c:layout>
      <c:barChart>
        <c:barDir val="col"/>
        <c:grouping val="clustered"/>
        <c:varyColors val="0"/>
        <c:ser>
          <c:idx val="0"/>
          <c:order val="0"/>
          <c:tx>
            <c:strRef>
              <c:f>PivotTable!$B$57:$B$58</c:f>
              <c:strCache>
                <c:ptCount val="1"/>
                <c:pt idx="0">
                  <c:v>Married</c:v>
                </c:pt>
              </c:strCache>
            </c:strRef>
          </c:tx>
          <c:spPr>
            <a:solidFill>
              <a:schemeClr val="accent4">
                <a:shade val="76000"/>
              </a:schemeClr>
            </a:solidFill>
            <a:ln>
              <a:noFill/>
            </a:ln>
            <a:effectLst/>
          </c:spPr>
          <c:invertIfNegative val="0"/>
          <c:cat>
            <c:strRef>
              <c:f>PivotTable!$A$59:$A$63</c:f>
              <c:strCache>
                <c:ptCount val="4"/>
                <c:pt idx="0">
                  <c:v>Adult (23+)</c:v>
                </c:pt>
                <c:pt idx="1">
                  <c:v>Middle Age (30+)</c:v>
                </c:pt>
                <c:pt idx="2">
                  <c:v>Elderly (45+)</c:v>
                </c:pt>
                <c:pt idx="3">
                  <c:v>Pension Age</c:v>
                </c:pt>
              </c:strCache>
            </c:strRef>
          </c:cat>
          <c:val>
            <c:numRef>
              <c:f>PivotTable!$B$59:$B$63</c:f>
              <c:numCache>
                <c:formatCode>General</c:formatCode>
                <c:ptCount val="4"/>
                <c:pt idx="0">
                  <c:v>30</c:v>
                </c:pt>
                <c:pt idx="1">
                  <c:v>217</c:v>
                </c:pt>
                <c:pt idx="2">
                  <c:v>215</c:v>
                </c:pt>
                <c:pt idx="3">
                  <c:v>76</c:v>
                </c:pt>
              </c:numCache>
            </c:numRef>
          </c:val>
          <c:extLst>
            <c:ext xmlns:c16="http://schemas.microsoft.com/office/drawing/2014/chart" uri="{C3380CC4-5D6E-409C-BE32-E72D297353CC}">
              <c16:uniqueId val="{00000005-806A-4E99-B4C2-40D26FE69907}"/>
            </c:ext>
          </c:extLst>
        </c:ser>
        <c:ser>
          <c:idx val="1"/>
          <c:order val="1"/>
          <c:tx>
            <c:strRef>
              <c:f>PivotTable!$C$57:$C$58</c:f>
              <c:strCache>
                <c:ptCount val="1"/>
                <c:pt idx="0">
                  <c:v>Single</c:v>
                </c:pt>
              </c:strCache>
            </c:strRef>
          </c:tx>
          <c:spPr>
            <a:solidFill>
              <a:schemeClr val="accent4">
                <a:tint val="77000"/>
              </a:schemeClr>
            </a:solidFill>
            <a:ln>
              <a:noFill/>
            </a:ln>
            <a:effectLst/>
          </c:spPr>
          <c:invertIfNegative val="0"/>
          <c:cat>
            <c:strRef>
              <c:f>PivotTable!$A$59:$A$63</c:f>
              <c:strCache>
                <c:ptCount val="4"/>
                <c:pt idx="0">
                  <c:v>Adult (23+)</c:v>
                </c:pt>
                <c:pt idx="1">
                  <c:v>Middle Age (30+)</c:v>
                </c:pt>
                <c:pt idx="2">
                  <c:v>Elderly (45+)</c:v>
                </c:pt>
                <c:pt idx="3">
                  <c:v>Pension Age</c:v>
                </c:pt>
              </c:strCache>
            </c:strRef>
          </c:cat>
          <c:val>
            <c:numRef>
              <c:f>PivotTable!$C$59:$C$63</c:f>
              <c:numCache>
                <c:formatCode>General</c:formatCode>
                <c:ptCount val="4"/>
                <c:pt idx="0">
                  <c:v>53</c:v>
                </c:pt>
                <c:pt idx="1">
                  <c:v>251</c:v>
                </c:pt>
                <c:pt idx="2">
                  <c:v>119</c:v>
                </c:pt>
                <c:pt idx="3">
                  <c:v>39</c:v>
                </c:pt>
              </c:numCache>
            </c:numRef>
          </c:val>
          <c:extLst>
            <c:ext xmlns:c16="http://schemas.microsoft.com/office/drawing/2014/chart" uri="{C3380CC4-5D6E-409C-BE32-E72D297353CC}">
              <c16:uniqueId val="{0000000E-806A-4E99-B4C2-40D26FE69907}"/>
            </c:ext>
          </c:extLst>
        </c:ser>
        <c:dLbls>
          <c:showLegendKey val="0"/>
          <c:showVal val="0"/>
          <c:showCatName val="0"/>
          <c:showSerName val="0"/>
          <c:showPercent val="0"/>
          <c:showBubbleSize val="0"/>
        </c:dLbls>
        <c:gapWidth val="219"/>
        <c:overlap val="-27"/>
        <c:axId val="839921776"/>
        <c:axId val="839938576"/>
      </c:barChart>
      <c:catAx>
        <c:axId val="83992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938576"/>
        <c:crosses val="autoZero"/>
        <c:auto val="1"/>
        <c:lblAlgn val="ctr"/>
        <c:lblOffset val="100"/>
        <c:noMultiLvlLbl val="0"/>
      </c:catAx>
      <c:valAx>
        <c:axId val="83993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921776"/>
        <c:crosses val="autoZero"/>
        <c:crossBetween val="between"/>
      </c:valAx>
      <c:spPr>
        <a:noFill/>
        <a:ln>
          <a:noFill/>
        </a:ln>
        <a:effectLst/>
      </c:spPr>
    </c:plotArea>
    <c:legend>
      <c:legendPos val="r"/>
      <c:layout>
        <c:manualLayout>
          <c:xMode val="edge"/>
          <c:yMode val="edge"/>
          <c:x val="0.65889860184643689"/>
          <c:y val="0.83855067188883881"/>
          <c:w val="0.25553059944977874"/>
          <c:h val="0.145655645775321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[Bike Sales Dashboard Portfolio.xlsx]PivotTable!PivotTable8</c:name>
    <c:fmtId val="4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Percentage</a:t>
            </a:r>
            <a:r>
              <a:rPr lang="en-US" b="1" baseline="0"/>
              <a:t> of Each Income Bracket</a:t>
            </a:r>
          </a:p>
          <a:p>
            <a:pPr>
              <a:defRPr b="1"/>
            </a:pPr>
            <a:r>
              <a:rPr lang="en-US" b="1" baseline="0"/>
              <a:t>from Various Region</a:t>
            </a:r>
            <a:endParaRPr lang="en-US" b="1"/>
          </a:p>
        </c:rich>
      </c:tx>
      <c:layout>
        <c:manualLayout>
          <c:xMode val="edge"/>
          <c:yMode val="edge"/>
          <c:x val="0.26289876265466816"/>
          <c:y val="2.212744240303295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pivotFmt>
      <c:pivotFmt>
        <c:idx val="1"/>
        <c:spPr>
          <a:solidFill>
            <a:schemeClr val="accent2"/>
          </a:solidFill>
          <a:ln w="28575" cap="rnd">
            <a:solidFill>
              <a:schemeClr val="accent2"/>
            </a:solidFill>
            <a:round/>
          </a:ln>
          <a:effectLst/>
        </c:spPr>
        <c:marker>
          <c:symbol val="none"/>
        </c:marker>
      </c:pivotFmt>
      <c:pivotFmt>
        <c:idx val="2"/>
        <c:spPr>
          <a:solidFill>
            <a:schemeClr val="accent2"/>
          </a:solidFill>
          <a:ln w="28575" cap="rnd">
            <a:solidFill>
              <a:schemeClr val="accent2"/>
            </a:solidFill>
            <a:round/>
          </a:ln>
          <a:effectLst/>
        </c:spPr>
        <c:marker>
          <c:symbol val="none"/>
        </c:marker>
      </c:pivotFmt>
      <c:pivotFmt>
        <c:idx val="3"/>
        <c:spPr>
          <a:solidFill>
            <a:schemeClr val="accent2"/>
          </a:solidFill>
          <a:ln w="28575" cap="rnd">
            <a:solidFill>
              <a:schemeClr val="accent2"/>
            </a:solidFill>
            <a:round/>
          </a:ln>
          <a:effectLst/>
        </c:spPr>
        <c:marker>
          <c:symbol val="none"/>
        </c:marker>
      </c:pivotFmt>
      <c:pivotFmt>
        <c:idx val="4"/>
        <c:spPr>
          <a:solidFill>
            <a:schemeClr val="accent2"/>
          </a:solidFill>
          <a:ln w="28575" cap="rnd">
            <a:solidFill>
              <a:schemeClr val="accent2"/>
            </a:solidFill>
            <a:round/>
          </a:ln>
          <a:effectLst/>
        </c:spPr>
        <c:marker>
          <c:symbol val="none"/>
        </c:marker>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248031496062996E-2"/>
          <c:y val="0.22666447944006998"/>
          <c:w val="0.70127577802774654"/>
          <c:h val="0.51094634004082828"/>
        </c:manualLayout>
      </c:layout>
      <c:lineChart>
        <c:grouping val="percentStacked"/>
        <c:varyColors val="0"/>
        <c:ser>
          <c:idx val="0"/>
          <c:order val="0"/>
          <c:tx>
            <c:strRef>
              <c:f>PivotTable!$B$76:$B$77</c:f>
              <c:strCache>
                <c:ptCount val="1"/>
                <c:pt idx="0">
                  <c:v>Poverty</c:v>
                </c:pt>
              </c:strCache>
            </c:strRef>
          </c:tx>
          <c:spPr>
            <a:ln w="28575" cap="rnd">
              <a:solidFill>
                <a:schemeClr val="accent2">
                  <a:shade val="53000"/>
                </a:schemeClr>
              </a:solidFill>
              <a:round/>
            </a:ln>
            <a:effectLst/>
          </c:spPr>
          <c:marker>
            <c:symbol val="none"/>
          </c:marker>
          <c:cat>
            <c:multiLvlStrRef>
              <c:f>PivotTable!$A$78:$A$84</c:f>
              <c:multiLvlStrCache>
                <c:ptCount val="3"/>
                <c:lvl>
                  <c:pt idx="0">
                    <c:v>Yes</c:v>
                  </c:pt>
                  <c:pt idx="1">
                    <c:v>Yes</c:v>
                  </c:pt>
                  <c:pt idx="2">
                    <c:v>Yes</c:v>
                  </c:pt>
                </c:lvl>
                <c:lvl>
                  <c:pt idx="0">
                    <c:v>Europe</c:v>
                  </c:pt>
                  <c:pt idx="1">
                    <c:v>North America</c:v>
                  </c:pt>
                  <c:pt idx="2">
                    <c:v>Pacific</c:v>
                  </c:pt>
                </c:lvl>
              </c:multiLvlStrCache>
            </c:multiLvlStrRef>
          </c:cat>
          <c:val>
            <c:numRef>
              <c:f>PivotTable!$B$78:$B$84</c:f>
              <c:numCache>
                <c:formatCode>0.00%</c:formatCode>
                <c:ptCount val="3"/>
                <c:pt idx="0">
                  <c:v>0.6785714285714286</c:v>
                </c:pt>
                <c:pt idx="1">
                  <c:v>3.5714285714285712E-2</c:v>
                </c:pt>
                <c:pt idx="2">
                  <c:v>0.2857142857142857</c:v>
                </c:pt>
              </c:numCache>
            </c:numRef>
          </c:val>
          <c:smooth val="0"/>
          <c:extLst>
            <c:ext xmlns:c16="http://schemas.microsoft.com/office/drawing/2014/chart" uri="{C3380CC4-5D6E-409C-BE32-E72D297353CC}">
              <c16:uniqueId val="{00000000-2BF1-4919-982F-E22E14B666EE}"/>
            </c:ext>
          </c:extLst>
        </c:ser>
        <c:ser>
          <c:idx val="1"/>
          <c:order val="1"/>
          <c:tx>
            <c:strRef>
              <c:f>PivotTable!$C$76:$C$77</c:f>
              <c:strCache>
                <c:ptCount val="1"/>
                <c:pt idx="0">
                  <c:v>Low</c:v>
                </c:pt>
              </c:strCache>
            </c:strRef>
          </c:tx>
          <c:spPr>
            <a:ln w="28575" cap="rnd">
              <a:solidFill>
                <a:schemeClr val="accent2">
                  <a:shade val="76000"/>
                </a:schemeClr>
              </a:solidFill>
              <a:round/>
            </a:ln>
            <a:effectLst/>
          </c:spPr>
          <c:marker>
            <c:symbol val="none"/>
          </c:marker>
          <c:cat>
            <c:multiLvlStrRef>
              <c:f>PivotTable!$A$78:$A$84</c:f>
              <c:multiLvlStrCache>
                <c:ptCount val="3"/>
                <c:lvl>
                  <c:pt idx="0">
                    <c:v>Yes</c:v>
                  </c:pt>
                  <c:pt idx="1">
                    <c:v>Yes</c:v>
                  </c:pt>
                  <c:pt idx="2">
                    <c:v>Yes</c:v>
                  </c:pt>
                </c:lvl>
                <c:lvl>
                  <c:pt idx="0">
                    <c:v>Europe</c:v>
                  </c:pt>
                  <c:pt idx="1">
                    <c:v>North America</c:v>
                  </c:pt>
                  <c:pt idx="2">
                    <c:v>Pacific</c:v>
                  </c:pt>
                </c:lvl>
              </c:multiLvlStrCache>
            </c:multiLvlStrRef>
          </c:cat>
          <c:val>
            <c:numRef>
              <c:f>PivotTable!$C$78:$C$84</c:f>
              <c:numCache>
                <c:formatCode>0.00%</c:formatCode>
                <c:ptCount val="3"/>
                <c:pt idx="0">
                  <c:v>0.54871794871794877</c:v>
                </c:pt>
                <c:pt idx="1">
                  <c:v>0.28205128205128205</c:v>
                </c:pt>
                <c:pt idx="2">
                  <c:v>0.16923076923076924</c:v>
                </c:pt>
              </c:numCache>
            </c:numRef>
          </c:val>
          <c:smooth val="0"/>
          <c:extLst>
            <c:ext xmlns:c16="http://schemas.microsoft.com/office/drawing/2014/chart" uri="{C3380CC4-5D6E-409C-BE32-E72D297353CC}">
              <c16:uniqueId val="{00000001-2BF1-4919-982F-E22E14B666EE}"/>
            </c:ext>
          </c:extLst>
        </c:ser>
        <c:ser>
          <c:idx val="2"/>
          <c:order val="2"/>
          <c:tx>
            <c:strRef>
              <c:f>PivotTable!$D$76:$D$77</c:f>
              <c:strCache>
                <c:ptCount val="1"/>
                <c:pt idx="0">
                  <c:v>Average</c:v>
                </c:pt>
              </c:strCache>
            </c:strRef>
          </c:tx>
          <c:spPr>
            <a:ln w="28575" cap="rnd">
              <a:solidFill>
                <a:schemeClr val="accent2"/>
              </a:solidFill>
              <a:round/>
            </a:ln>
            <a:effectLst/>
          </c:spPr>
          <c:marker>
            <c:symbol val="none"/>
          </c:marker>
          <c:cat>
            <c:multiLvlStrRef>
              <c:f>PivotTable!$A$78:$A$84</c:f>
              <c:multiLvlStrCache>
                <c:ptCount val="3"/>
                <c:lvl>
                  <c:pt idx="0">
                    <c:v>Yes</c:v>
                  </c:pt>
                  <c:pt idx="1">
                    <c:v>Yes</c:v>
                  </c:pt>
                  <c:pt idx="2">
                    <c:v>Yes</c:v>
                  </c:pt>
                </c:lvl>
                <c:lvl>
                  <c:pt idx="0">
                    <c:v>Europe</c:v>
                  </c:pt>
                  <c:pt idx="1">
                    <c:v>North America</c:v>
                  </c:pt>
                  <c:pt idx="2">
                    <c:v>Pacific</c:v>
                  </c:pt>
                </c:lvl>
              </c:multiLvlStrCache>
            </c:multiLvlStrRef>
          </c:cat>
          <c:val>
            <c:numRef>
              <c:f>PivotTable!$D$78:$D$84</c:f>
              <c:numCache>
                <c:formatCode>0.00%</c:formatCode>
                <c:ptCount val="3"/>
                <c:pt idx="0">
                  <c:v>3.864734299516908E-2</c:v>
                </c:pt>
                <c:pt idx="1">
                  <c:v>0.71497584541062797</c:v>
                </c:pt>
                <c:pt idx="2">
                  <c:v>0.24637681159420291</c:v>
                </c:pt>
              </c:numCache>
            </c:numRef>
          </c:val>
          <c:smooth val="0"/>
          <c:extLst>
            <c:ext xmlns:c16="http://schemas.microsoft.com/office/drawing/2014/chart" uri="{C3380CC4-5D6E-409C-BE32-E72D297353CC}">
              <c16:uniqueId val="{00000002-2BF1-4919-982F-E22E14B666EE}"/>
            </c:ext>
          </c:extLst>
        </c:ser>
        <c:ser>
          <c:idx val="3"/>
          <c:order val="3"/>
          <c:tx>
            <c:strRef>
              <c:f>PivotTable!$E$76:$E$77</c:f>
              <c:strCache>
                <c:ptCount val="1"/>
                <c:pt idx="0">
                  <c:v>High</c:v>
                </c:pt>
              </c:strCache>
            </c:strRef>
          </c:tx>
          <c:spPr>
            <a:ln w="28575" cap="rnd">
              <a:solidFill>
                <a:schemeClr val="accent2">
                  <a:tint val="77000"/>
                </a:schemeClr>
              </a:solidFill>
              <a:round/>
            </a:ln>
            <a:effectLst/>
          </c:spPr>
          <c:marker>
            <c:symbol val="none"/>
          </c:marker>
          <c:cat>
            <c:multiLvlStrRef>
              <c:f>PivotTable!$A$78:$A$84</c:f>
              <c:multiLvlStrCache>
                <c:ptCount val="3"/>
                <c:lvl>
                  <c:pt idx="0">
                    <c:v>Yes</c:v>
                  </c:pt>
                  <c:pt idx="1">
                    <c:v>Yes</c:v>
                  </c:pt>
                  <c:pt idx="2">
                    <c:v>Yes</c:v>
                  </c:pt>
                </c:lvl>
                <c:lvl>
                  <c:pt idx="0">
                    <c:v>Europe</c:v>
                  </c:pt>
                  <c:pt idx="1">
                    <c:v>North America</c:v>
                  </c:pt>
                  <c:pt idx="2">
                    <c:v>Pacific</c:v>
                  </c:pt>
                </c:lvl>
              </c:multiLvlStrCache>
            </c:multiLvlStrRef>
          </c:cat>
          <c:val>
            <c:numRef>
              <c:f>PivotTable!$E$78:$E$84</c:f>
              <c:numCache>
                <c:formatCode>0.00%</c:formatCode>
                <c:ptCount val="3"/>
                <c:pt idx="0">
                  <c:v>0.25</c:v>
                </c:pt>
                <c:pt idx="1">
                  <c:v>0.34090909090909088</c:v>
                </c:pt>
                <c:pt idx="2">
                  <c:v>0.40909090909090912</c:v>
                </c:pt>
              </c:numCache>
            </c:numRef>
          </c:val>
          <c:smooth val="0"/>
          <c:extLst>
            <c:ext xmlns:c16="http://schemas.microsoft.com/office/drawing/2014/chart" uri="{C3380CC4-5D6E-409C-BE32-E72D297353CC}">
              <c16:uniqueId val="{00000003-2BF1-4919-982F-E22E14B666EE}"/>
            </c:ext>
          </c:extLst>
        </c:ser>
        <c:ser>
          <c:idx val="4"/>
          <c:order val="4"/>
          <c:tx>
            <c:strRef>
              <c:f>PivotTable!$F$76:$F$77</c:f>
              <c:strCache>
                <c:ptCount val="1"/>
                <c:pt idx="0">
                  <c:v>Very High</c:v>
                </c:pt>
              </c:strCache>
            </c:strRef>
          </c:tx>
          <c:spPr>
            <a:ln w="28575" cap="rnd">
              <a:solidFill>
                <a:schemeClr val="accent2">
                  <a:tint val="54000"/>
                </a:schemeClr>
              </a:solidFill>
              <a:round/>
            </a:ln>
            <a:effectLst/>
          </c:spPr>
          <c:marker>
            <c:symbol val="none"/>
          </c:marker>
          <c:cat>
            <c:multiLvlStrRef>
              <c:f>PivotTable!$A$78:$A$84</c:f>
              <c:multiLvlStrCache>
                <c:ptCount val="3"/>
                <c:lvl>
                  <c:pt idx="0">
                    <c:v>Yes</c:v>
                  </c:pt>
                  <c:pt idx="1">
                    <c:v>Yes</c:v>
                  </c:pt>
                  <c:pt idx="2">
                    <c:v>Yes</c:v>
                  </c:pt>
                </c:lvl>
                <c:lvl>
                  <c:pt idx="0">
                    <c:v>Europe</c:v>
                  </c:pt>
                  <c:pt idx="1">
                    <c:v>North America</c:v>
                  </c:pt>
                  <c:pt idx="2">
                    <c:v>Pacific</c:v>
                  </c:pt>
                </c:lvl>
              </c:multiLvlStrCache>
            </c:multiLvlStrRef>
          </c:cat>
          <c:val>
            <c:numRef>
              <c:f>PivotTable!$F$78:$F$84</c:f>
              <c:numCache>
                <c:formatCode>0.00%</c:formatCode>
                <c:ptCount val="3"/>
                <c:pt idx="0">
                  <c:v>0.42857142857142855</c:v>
                </c:pt>
                <c:pt idx="1">
                  <c:v>0.14285714285714285</c:v>
                </c:pt>
                <c:pt idx="2">
                  <c:v>0.42857142857142855</c:v>
                </c:pt>
              </c:numCache>
            </c:numRef>
          </c:val>
          <c:smooth val="0"/>
          <c:extLst>
            <c:ext xmlns:c16="http://schemas.microsoft.com/office/drawing/2014/chart" uri="{C3380CC4-5D6E-409C-BE32-E72D297353CC}">
              <c16:uniqueId val="{00000004-2BF1-4919-982F-E22E14B666EE}"/>
            </c:ext>
          </c:extLst>
        </c:ser>
        <c:dLbls>
          <c:showLegendKey val="0"/>
          <c:showVal val="0"/>
          <c:showCatName val="0"/>
          <c:showSerName val="0"/>
          <c:showPercent val="0"/>
          <c:showBubbleSize val="0"/>
        </c:dLbls>
        <c:smooth val="0"/>
        <c:axId val="276341680"/>
        <c:axId val="276342160"/>
      </c:lineChart>
      <c:catAx>
        <c:axId val="27634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342160"/>
        <c:crosses val="autoZero"/>
        <c:auto val="1"/>
        <c:lblAlgn val="ctr"/>
        <c:lblOffset val="100"/>
        <c:noMultiLvlLbl val="0"/>
      </c:catAx>
      <c:valAx>
        <c:axId val="276342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341680"/>
        <c:crosses val="autoZero"/>
        <c:crossBetween val="between"/>
        <c:majorUnit val="0.2"/>
      </c:valAx>
      <c:spPr>
        <a:noFill/>
        <a:ln>
          <a:noFill/>
        </a:ln>
        <a:effectLst/>
      </c:spPr>
    </c:plotArea>
    <c:legend>
      <c:legendPos val="r"/>
      <c:layout>
        <c:manualLayout>
          <c:xMode val="edge"/>
          <c:yMode val="edge"/>
          <c:x val="0.80833333333333335"/>
          <c:y val="0.24137685914260718"/>
          <c:w val="0.18732545790667487"/>
          <c:h val="0.451352806152882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Portfolio.xlsx]PivotTable!PivotTable9</c:name>
    <c:fmtId val="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Marital Status</a:t>
            </a:r>
          </a:p>
        </c:rich>
      </c:tx>
      <c:layout>
        <c:manualLayout>
          <c:xMode val="edge"/>
          <c:yMode val="edge"/>
          <c:x val="0.60978598294196451"/>
          <c:y val="5.4534849810440364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8801334208223972"/>
          <c:y val="0.15217373869932924"/>
          <c:w val="0.47814020122484691"/>
          <c:h val="0.79690033537474481"/>
        </c:manualLayout>
      </c:layout>
      <c:pieChart>
        <c:varyColors val="1"/>
        <c:ser>
          <c:idx val="0"/>
          <c:order val="0"/>
          <c:tx>
            <c:strRef>
              <c:f>PivotTable!$K$76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EB-48CC-AA38-2E19543FF9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EB-48CC-AA38-2E19543FF9D4}"/>
              </c:ext>
            </c:extLst>
          </c:dPt>
          <c:cat>
            <c:strRef>
              <c:f>PivotTable!$J$77:$J$79</c:f>
              <c:strCache>
                <c:ptCount val="2"/>
                <c:pt idx="0">
                  <c:v>Married</c:v>
                </c:pt>
                <c:pt idx="1">
                  <c:v>Single</c:v>
                </c:pt>
              </c:strCache>
            </c:strRef>
          </c:cat>
          <c:val>
            <c:numRef>
              <c:f>PivotTable!$K$77:$K$79</c:f>
              <c:numCache>
                <c:formatCode>General</c:formatCode>
                <c:ptCount val="2"/>
                <c:pt idx="0">
                  <c:v>538</c:v>
                </c:pt>
                <c:pt idx="1">
                  <c:v>462</c:v>
                </c:pt>
              </c:numCache>
            </c:numRef>
          </c:val>
          <c:extLst>
            <c:ext xmlns:c16="http://schemas.microsoft.com/office/drawing/2014/chart" uri="{C3380CC4-5D6E-409C-BE32-E72D297353CC}">
              <c16:uniqueId val="{00000004-E6EB-48CC-AA38-2E19543FF9D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058648394974147"/>
          <c:y val="0.23053186060075823"/>
          <c:w val="0.19583333333333333"/>
          <c:h val="0.2389125978543741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68580</xdr:colOff>
      <xdr:row>0</xdr:row>
      <xdr:rowOff>15240</xdr:rowOff>
    </xdr:from>
    <xdr:to>
      <xdr:col>17</xdr:col>
      <xdr:colOff>190500</xdr:colOff>
      <xdr:row>18</xdr:row>
      <xdr:rowOff>68580</xdr:rowOff>
    </xdr:to>
    <xdr:graphicFrame macro="">
      <xdr:nvGraphicFramePr>
        <xdr:cNvPr id="2" name="Chart 1">
          <a:extLst>
            <a:ext uri="{FF2B5EF4-FFF2-40B4-BE49-F238E27FC236}">
              <a16:creationId xmlns:a16="http://schemas.microsoft.com/office/drawing/2014/main" id="{6B9D9AA5-98FD-882E-E727-C743730EF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91440</xdr:colOff>
      <xdr:row>20</xdr:row>
      <xdr:rowOff>175260</xdr:rowOff>
    </xdr:from>
    <xdr:to>
      <xdr:col>14</xdr:col>
      <xdr:colOff>609600</xdr:colOff>
      <xdr:row>35</xdr:row>
      <xdr:rowOff>91440</xdr:rowOff>
    </xdr:to>
    <xdr:graphicFrame macro="">
      <xdr:nvGraphicFramePr>
        <xdr:cNvPr id="3" name="Chart 2">
          <a:extLst>
            <a:ext uri="{FF2B5EF4-FFF2-40B4-BE49-F238E27FC236}">
              <a16:creationId xmlns:a16="http://schemas.microsoft.com/office/drawing/2014/main" id="{1443DBE6-DB43-25A0-4393-A099306B7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36</xdr:row>
      <xdr:rowOff>160020</xdr:rowOff>
    </xdr:from>
    <xdr:to>
      <xdr:col>17</xdr:col>
      <xdr:colOff>182880</xdr:colOff>
      <xdr:row>50</xdr:row>
      <xdr:rowOff>137160</xdr:rowOff>
    </xdr:to>
    <xdr:graphicFrame macro="">
      <xdr:nvGraphicFramePr>
        <xdr:cNvPr id="5" name="Chart 4">
          <a:extLst>
            <a:ext uri="{FF2B5EF4-FFF2-40B4-BE49-F238E27FC236}">
              <a16:creationId xmlns:a16="http://schemas.microsoft.com/office/drawing/2014/main" id="{244EA844-02B3-E6F4-D44E-26A44240A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152400</xdr:colOff>
      <xdr:row>55</xdr:row>
      <xdr:rowOff>152400</xdr:rowOff>
    </xdr:from>
    <xdr:to>
      <xdr:col>14</xdr:col>
      <xdr:colOff>708660</xdr:colOff>
      <xdr:row>72</xdr:row>
      <xdr:rowOff>99060</xdr:rowOff>
    </xdr:to>
    <xdr:graphicFrame macro="">
      <xdr:nvGraphicFramePr>
        <xdr:cNvPr id="6" name="Chart 5">
          <a:extLst>
            <a:ext uri="{FF2B5EF4-FFF2-40B4-BE49-F238E27FC236}">
              <a16:creationId xmlns:a16="http://schemas.microsoft.com/office/drawing/2014/main" id="{B783F69C-B905-75EA-959C-F01A5FDD0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228600</xdr:colOff>
      <xdr:row>84</xdr:row>
      <xdr:rowOff>137160</xdr:rowOff>
    </xdr:from>
    <xdr:to>
      <xdr:col>6</xdr:col>
      <xdr:colOff>723900</xdr:colOff>
      <xdr:row>99</xdr:row>
      <xdr:rowOff>137160</xdr:rowOff>
    </xdr:to>
    <xdr:graphicFrame macro="">
      <xdr:nvGraphicFramePr>
        <xdr:cNvPr id="7" name="Chart 6">
          <a:extLst>
            <a:ext uri="{FF2B5EF4-FFF2-40B4-BE49-F238E27FC236}">
              <a16:creationId xmlns:a16="http://schemas.microsoft.com/office/drawing/2014/main" id="{E551A7CA-5017-5E54-E083-BF3268013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251791</xdr:colOff>
      <xdr:row>80</xdr:row>
      <xdr:rowOff>6626</xdr:rowOff>
    </xdr:from>
    <xdr:to>
      <xdr:col>14</xdr:col>
      <xdr:colOff>430695</xdr:colOff>
      <xdr:row>94</xdr:row>
      <xdr:rowOff>152400</xdr:rowOff>
    </xdr:to>
    <xdr:graphicFrame macro="">
      <xdr:nvGraphicFramePr>
        <xdr:cNvPr id="8" name="Chart 7">
          <a:extLst>
            <a:ext uri="{FF2B5EF4-FFF2-40B4-BE49-F238E27FC236}">
              <a16:creationId xmlns:a16="http://schemas.microsoft.com/office/drawing/2014/main" id="{25A40A7E-2B51-4D31-ACDD-1D7C0A2AD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21770</xdr:colOff>
      <xdr:row>29</xdr:row>
      <xdr:rowOff>141514</xdr:rowOff>
    </xdr:from>
    <xdr:to>
      <xdr:col>12</xdr:col>
      <xdr:colOff>0</xdr:colOff>
      <xdr:row>48</xdr:row>
      <xdr:rowOff>100534</xdr:rowOff>
    </xdr:to>
    <xdr:graphicFrame macro="">
      <xdr:nvGraphicFramePr>
        <xdr:cNvPr id="4" name="Chart 3">
          <a:extLst>
            <a:ext uri="{FF2B5EF4-FFF2-40B4-BE49-F238E27FC236}">
              <a16:creationId xmlns:a16="http://schemas.microsoft.com/office/drawing/2014/main" id="{CF718D60-203C-47AF-92BC-369446AEE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13447</xdr:rowOff>
    </xdr:from>
    <xdr:to>
      <xdr:col>14</xdr:col>
      <xdr:colOff>0</xdr:colOff>
      <xdr:row>29</xdr:row>
      <xdr:rowOff>141514</xdr:rowOff>
    </xdr:to>
    <xdr:graphicFrame macro="">
      <xdr:nvGraphicFramePr>
        <xdr:cNvPr id="6" name="Chart 5">
          <a:extLst>
            <a:ext uri="{FF2B5EF4-FFF2-40B4-BE49-F238E27FC236}">
              <a16:creationId xmlns:a16="http://schemas.microsoft.com/office/drawing/2014/main" id="{FE4872E2-D70F-40B1-8217-F2D47B21B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609598</xdr:colOff>
      <xdr:row>11</xdr:row>
      <xdr:rowOff>8965</xdr:rowOff>
    </xdr:from>
    <xdr:to>
      <xdr:col>23</xdr:col>
      <xdr:colOff>30480</xdr:colOff>
      <xdr:row>29</xdr:row>
      <xdr:rowOff>141515</xdr:rowOff>
    </xdr:to>
    <xdr:graphicFrame macro="">
      <xdr:nvGraphicFramePr>
        <xdr:cNvPr id="7" name="Chart 6">
          <a:extLst>
            <a:ext uri="{FF2B5EF4-FFF2-40B4-BE49-F238E27FC236}">
              <a16:creationId xmlns:a16="http://schemas.microsoft.com/office/drawing/2014/main" id="{D1D20FEC-47A3-4019-A949-873F5205F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28495</xdr:colOff>
      <xdr:row>11</xdr:row>
      <xdr:rowOff>12230</xdr:rowOff>
    </xdr:from>
    <xdr:to>
      <xdr:col>26</xdr:col>
      <xdr:colOff>1</xdr:colOff>
      <xdr:row>22</xdr:row>
      <xdr:rowOff>12231</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6B15FE2E-8B9E-9E35-2EB4-CBA76D8E887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4049295" y="1984465"/>
              <a:ext cx="1800306" cy="1972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22859</xdr:colOff>
      <xdr:row>35</xdr:row>
      <xdr:rowOff>71718</xdr:rowOff>
    </xdr:from>
    <xdr:to>
      <xdr:col>26</xdr:col>
      <xdr:colOff>8964</xdr:colOff>
      <xdr:row>48</xdr:row>
      <xdr:rowOff>83820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BC589592-2FEA-C5EE-37A2-849D79E801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043659" y="6347012"/>
              <a:ext cx="1814905" cy="2342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32915</xdr:colOff>
      <xdr:row>22</xdr:row>
      <xdr:rowOff>11975</xdr:rowOff>
    </xdr:from>
    <xdr:to>
      <xdr:col>26</xdr:col>
      <xdr:colOff>1</xdr:colOff>
      <xdr:row>35</xdr:row>
      <xdr:rowOff>73207</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67167B01-01F6-93E8-59BC-8762622DDC5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053715" y="3956446"/>
              <a:ext cx="1795886" cy="2392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xdr:colOff>
      <xdr:row>29</xdr:row>
      <xdr:rowOff>141514</xdr:rowOff>
    </xdr:from>
    <xdr:to>
      <xdr:col>23</xdr:col>
      <xdr:colOff>32657</xdr:colOff>
      <xdr:row>48</xdr:row>
      <xdr:rowOff>97971</xdr:rowOff>
    </xdr:to>
    <xdr:graphicFrame macro="">
      <xdr:nvGraphicFramePr>
        <xdr:cNvPr id="13" name="Chart 12">
          <a:extLst>
            <a:ext uri="{FF2B5EF4-FFF2-40B4-BE49-F238E27FC236}">
              <a16:creationId xmlns:a16="http://schemas.microsoft.com/office/drawing/2014/main" id="{4153417C-CD43-4F69-A81F-B1B30C055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21772</xdr:colOff>
      <xdr:row>48</xdr:row>
      <xdr:rowOff>87085</xdr:rowOff>
    </xdr:from>
    <xdr:to>
      <xdr:col>7</xdr:col>
      <xdr:colOff>163286</xdr:colOff>
      <xdr:row>63</xdr:row>
      <xdr:rowOff>54428</xdr:rowOff>
    </xdr:to>
    <xdr:graphicFrame macro="">
      <xdr:nvGraphicFramePr>
        <xdr:cNvPr id="14" name="Chart 13">
          <a:extLst>
            <a:ext uri="{FF2B5EF4-FFF2-40B4-BE49-F238E27FC236}">
              <a16:creationId xmlns:a16="http://schemas.microsoft.com/office/drawing/2014/main" id="{68D632F8-2DD2-43EB-8A72-BCF4538FD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gareth Suhaimi" refreshedDate="46035.560850578702" createdVersion="8" refreshedVersion="8" minRefreshableVersion="3" recordCount="1000" xr:uid="{88C0EF0A-6BA1-4984-A500-A5243655EE15}">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Income Bracket" numFmtId="0">
      <sharedItems count="5">
        <s v="Low"/>
        <s v="Average"/>
        <s v="Poverty"/>
        <s v="Very High"/>
        <s v="High"/>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8">
        <s v="Middle Age (30+)"/>
        <s v="Pension Age"/>
        <s v="Elderly (45+)"/>
        <s v="Adult (23+)"/>
        <s v="Middle Age (35+)" u="1"/>
        <s v="Elderly (50+)" u="1"/>
        <s v="Adult (25+)" u="1"/>
        <s v="Middle Age (33+)" u="1"/>
      </sharedItems>
    </cacheField>
    <cacheField name="Purchased Bike" numFmtId="0">
      <sharedItems count="2">
        <s v="No"/>
        <s v="Yes"/>
      </sharedItems>
    </cacheField>
  </cacheFields>
  <extLst>
    <ext xmlns:x14="http://schemas.microsoft.com/office/spreadsheetml/2009/9/main" uri="{725AE2AE-9491-48be-B2B4-4EB974FC3084}">
      <x14:pivotCacheDefinition pivotCacheId="8228793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h Suhaimi" refreshedDate="46035.580330555553" backgroundQuery="1" createdVersion="8" refreshedVersion="8" minRefreshableVersion="3" recordCount="0" supportSubquery="1" supportAdvancedDrill="1" xr:uid="{E955EEB7-BFCA-4EAC-A86F-86E79F018EB8}">
  <cacheSource type="external" connectionId="1"/>
  <cacheFields count="4">
    <cacheField name="[Range].[Income Bracket].[Income Bracket]" caption="Income Bracket" numFmtId="0" hierarchy="4" level="1">
      <sharedItems count="5">
        <s v="Average"/>
        <s v="High"/>
        <s v="Low"/>
        <s v="Poverty"/>
        <s v="Very High"/>
      </sharedItems>
    </cacheField>
    <cacheField name="[Range].[Gender].[Gender]" caption="Gender" numFmtId="0" hierarchy="2" level="1">
      <sharedItems count="2">
        <s v="Female"/>
        <s v="Male"/>
      </sharedItems>
    </cacheField>
    <cacheField name="[Measures].[Count of Purchased Bike]" caption="Count of Purchased Bike" numFmtId="0" hierarchy="18" level="32767"/>
    <cacheField name="[Range].[Region].[Region]" caption="Region" numFmtId="0" hierarchy="11" level="1">
      <sharedItems containsSemiMixedTypes="0" containsNonDate="0" containsString="0"/>
    </cacheField>
  </cacheFields>
  <cacheHierarchies count="19">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Income]" caption="Income" attribute="1" defaultMemberUniqueName="[Range].[Income].[All]" allUniqueName="[Range].[Income].[All]" dimensionUniqueName="[Range]" displayFolder="" count="0" memberValueDatatype="20" unbalanced="0"/>
    <cacheHierarchy uniqueName="[Range].[Income Bracket]" caption="Income Bracket" attribute="1" defaultMemberUniqueName="[Range].[Income Bracket].[All]" allUniqueName="[Range].[Income Bracket].[All]" dimensionUniqueName="[Range]" displayFolder="" count="2" memberValueDatatype="130" unbalanced="0">
      <fieldsUsage count="2">
        <fieldUsage x="-1"/>
        <fieldUsage x="0"/>
      </fieldsUsage>
    </cacheHierarchy>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0" memberValueDatatype="20" unbalanced="0"/>
    <cacheHierarchy uniqueName="[Range].[Age Bracket]" caption="Age Bracket" attribute="1" defaultMemberUniqueName="[Range].[Age Bracket].[All]" allUniqueName="[Range].[Age Bracket].[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Count of Purchased Bike]" caption="Count of Purchased Bike"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gareth Suhaimi" refreshedDate="46035.560845254629" backgroundQuery="1" createdVersion="3" refreshedVersion="8" minRefreshableVersion="3" recordCount="0" supportSubquery="1" supportAdvancedDrill="1" xr:uid="{0F406B53-F087-4570-B173-5CAA491C6679}">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Income Bracket]" caption="Income Bracket" attribute="1" defaultMemberUniqueName="[Range].[Income Bracket].[All]" allUniqueName="[Range].[Income Bracket].[All]" dimensionUniqueName="[Range]" displayFolder="" count="0" memberValueDatatype="13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 caption="Age Bracket" attribute="1" defaultMemberUniqueName="[Range].[Age Bracket].[All]" allUniqueName="[Range].[Age Bracket].[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04351388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n v="1"/>
    <x v="0"/>
    <s v="Skilled Manual"/>
    <s v="Yes"/>
    <n v="0"/>
    <x v="0"/>
    <x v="0"/>
    <n v="42"/>
    <x v="0"/>
    <x v="0"/>
  </r>
  <r>
    <n v="24107"/>
    <x v="0"/>
    <x v="1"/>
    <n v="30000"/>
    <x v="0"/>
    <n v="3"/>
    <x v="1"/>
    <s v="Clerical"/>
    <s v="Yes"/>
    <n v="1"/>
    <x v="0"/>
    <x v="0"/>
    <n v="43"/>
    <x v="0"/>
    <x v="0"/>
  </r>
  <r>
    <n v="14177"/>
    <x v="0"/>
    <x v="1"/>
    <n v="80000"/>
    <x v="1"/>
    <n v="5"/>
    <x v="1"/>
    <s v="Professional"/>
    <s v="No"/>
    <n v="2"/>
    <x v="1"/>
    <x v="0"/>
    <n v="60"/>
    <x v="1"/>
    <x v="0"/>
  </r>
  <r>
    <n v="24381"/>
    <x v="1"/>
    <x v="1"/>
    <n v="70000"/>
    <x v="1"/>
    <n v="0"/>
    <x v="0"/>
    <s v="Professional"/>
    <s v="Yes"/>
    <n v="1"/>
    <x v="2"/>
    <x v="1"/>
    <n v="41"/>
    <x v="0"/>
    <x v="1"/>
  </r>
  <r>
    <n v="25597"/>
    <x v="1"/>
    <x v="1"/>
    <n v="30000"/>
    <x v="0"/>
    <n v="0"/>
    <x v="0"/>
    <s v="Clerical"/>
    <s v="No"/>
    <n v="0"/>
    <x v="0"/>
    <x v="0"/>
    <n v="36"/>
    <x v="0"/>
    <x v="1"/>
  </r>
  <r>
    <n v="13507"/>
    <x v="0"/>
    <x v="0"/>
    <n v="10000"/>
    <x v="2"/>
    <n v="2"/>
    <x v="1"/>
    <s v="Manual"/>
    <s v="Yes"/>
    <n v="0"/>
    <x v="3"/>
    <x v="0"/>
    <n v="50"/>
    <x v="2"/>
    <x v="0"/>
  </r>
  <r>
    <n v="27974"/>
    <x v="1"/>
    <x v="1"/>
    <n v="160000"/>
    <x v="3"/>
    <n v="2"/>
    <x v="2"/>
    <s v="Management"/>
    <s v="Yes"/>
    <n v="4"/>
    <x v="0"/>
    <x v="1"/>
    <n v="33"/>
    <x v="0"/>
    <x v="1"/>
  </r>
  <r>
    <n v="19364"/>
    <x v="0"/>
    <x v="1"/>
    <n v="40000"/>
    <x v="0"/>
    <n v="1"/>
    <x v="0"/>
    <s v="Skilled Manual"/>
    <s v="Yes"/>
    <n v="0"/>
    <x v="0"/>
    <x v="0"/>
    <n v="43"/>
    <x v="0"/>
    <x v="1"/>
  </r>
  <r>
    <n v="22155"/>
    <x v="0"/>
    <x v="1"/>
    <n v="20000"/>
    <x v="0"/>
    <n v="2"/>
    <x v="3"/>
    <s v="Clerical"/>
    <s v="Yes"/>
    <n v="2"/>
    <x v="2"/>
    <x v="1"/>
    <n v="58"/>
    <x v="2"/>
    <x v="0"/>
  </r>
  <r>
    <n v="19280"/>
    <x v="0"/>
    <x v="1"/>
    <n v="120000"/>
    <x v="4"/>
    <n v="2"/>
    <x v="1"/>
    <s v="Manual"/>
    <s v="Yes"/>
    <n v="1"/>
    <x v="0"/>
    <x v="0"/>
    <n v="40"/>
    <x v="0"/>
    <x v="1"/>
  </r>
  <r>
    <n v="22173"/>
    <x v="0"/>
    <x v="0"/>
    <n v="30000"/>
    <x v="0"/>
    <n v="3"/>
    <x v="2"/>
    <s v="Skilled Manual"/>
    <s v="No"/>
    <n v="2"/>
    <x v="3"/>
    <x v="1"/>
    <n v="54"/>
    <x v="2"/>
    <x v="1"/>
  </r>
  <r>
    <n v="12697"/>
    <x v="1"/>
    <x v="0"/>
    <n v="90000"/>
    <x v="1"/>
    <n v="0"/>
    <x v="0"/>
    <s v="Professional"/>
    <s v="No"/>
    <n v="4"/>
    <x v="4"/>
    <x v="1"/>
    <n v="36"/>
    <x v="0"/>
    <x v="0"/>
  </r>
  <r>
    <n v="11434"/>
    <x v="0"/>
    <x v="1"/>
    <n v="170000"/>
    <x v="3"/>
    <n v="5"/>
    <x v="1"/>
    <s v="Professional"/>
    <s v="Yes"/>
    <n v="0"/>
    <x v="0"/>
    <x v="0"/>
    <n v="55"/>
    <x v="2"/>
    <x v="0"/>
  </r>
  <r>
    <n v="25323"/>
    <x v="0"/>
    <x v="1"/>
    <n v="40000"/>
    <x v="0"/>
    <n v="2"/>
    <x v="1"/>
    <s v="Clerical"/>
    <s v="Yes"/>
    <n v="1"/>
    <x v="3"/>
    <x v="0"/>
    <n v="35"/>
    <x v="0"/>
    <x v="1"/>
  </r>
  <r>
    <n v="23542"/>
    <x v="1"/>
    <x v="1"/>
    <n v="60000"/>
    <x v="1"/>
    <n v="1"/>
    <x v="1"/>
    <s v="Skilled Manual"/>
    <s v="No"/>
    <n v="1"/>
    <x v="0"/>
    <x v="1"/>
    <n v="45"/>
    <x v="2"/>
    <x v="1"/>
  </r>
  <r>
    <n v="20870"/>
    <x v="1"/>
    <x v="0"/>
    <n v="10000"/>
    <x v="2"/>
    <n v="2"/>
    <x v="2"/>
    <s v="Manual"/>
    <s v="Yes"/>
    <n v="1"/>
    <x v="0"/>
    <x v="0"/>
    <n v="38"/>
    <x v="0"/>
    <x v="1"/>
  </r>
  <r>
    <n v="23316"/>
    <x v="1"/>
    <x v="1"/>
    <n v="30000"/>
    <x v="0"/>
    <n v="3"/>
    <x v="1"/>
    <s v="Clerical"/>
    <s v="No"/>
    <n v="2"/>
    <x v="3"/>
    <x v="1"/>
    <n v="59"/>
    <x v="2"/>
    <x v="1"/>
  </r>
  <r>
    <n v="12610"/>
    <x v="0"/>
    <x v="0"/>
    <n v="30000"/>
    <x v="0"/>
    <n v="1"/>
    <x v="0"/>
    <s v="Clerical"/>
    <s v="Yes"/>
    <n v="0"/>
    <x v="0"/>
    <x v="0"/>
    <n v="47"/>
    <x v="2"/>
    <x v="0"/>
  </r>
  <r>
    <n v="27183"/>
    <x v="1"/>
    <x v="1"/>
    <n v="40000"/>
    <x v="0"/>
    <n v="2"/>
    <x v="1"/>
    <s v="Clerical"/>
    <s v="Yes"/>
    <n v="1"/>
    <x v="3"/>
    <x v="0"/>
    <n v="35"/>
    <x v="0"/>
    <x v="1"/>
  </r>
  <r>
    <n v="25940"/>
    <x v="1"/>
    <x v="1"/>
    <n v="20000"/>
    <x v="0"/>
    <n v="2"/>
    <x v="3"/>
    <s v="Clerical"/>
    <s v="Yes"/>
    <n v="2"/>
    <x v="2"/>
    <x v="1"/>
    <n v="55"/>
    <x v="2"/>
    <x v="1"/>
  </r>
  <r>
    <n v="25598"/>
    <x v="0"/>
    <x v="0"/>
    <n v="40000"/>
    <x v="0"/>
    <n v="0"/>
    <x v="4"/>
    <s v="Clerical"/>
    <s v="Yes"/>
    <n v="0"/>
    <x v="0"/>
    <x v="0"/>
    <n v="36"/>
    <x v="0"/>
    <x v="1"/>
  </r>
  <r>
    <n v="21564"/>
    <x v="1"/>
    <x v="0"/>
    <n v="80000"/>
    <x v="1"/>
    <n v="0"/>
    <x v="0"/>
    <s v="Professional"/>
    <s v="Yes"/>
    <n v="4"/>
    <x v="4"/>
    <x v="1"/>
    <n v="35"/>
    <x v="0"/>
    <x v="0"/>
  </r>
  <r>
    <n v="19193"/>
    <x v="1"/>
    <x v="1"/>
    <n v="40000"/>
    <x v="0"/>
    <n v="2"/>
    <x v="1"/>
    <s v="Clerical"/>
    <s v="Yes"/>
    <n v="0"/>
    <x v="3"/>
    <x v="0"/>
    <n v="35"/>
    <x v="0"/>
    <x v="1"/>
  </r>
  <r>
    <n v="26412"/>
    <x v="0"/>
    <x v="0"/>
    <n v="80000"/>
    <x v="1"/>
    <n v="5"/>
    <x v="2"/>
    <s v="Management"/>
    <s v="No"/>
    <n v="3"/>
    <x v="2"/>
    <x v="0"/>
    <n v="56"/>
    <x v="2"/>
    <x v="0"/>
  </r>
  <r>
    <n v="27184"/>
    <x v="1"/>
    <x v="1"/>
    <n v="40000"/>
    <x v="0"/>
    <n v="2"/>
    <x v="1"/>
    <s v="Clerical"/>
    <s v="No"/>
    <n v="1"/>
    <x v="0"/>
    <x v="0"/>
    <n v="34"/>
    <x v="0"/>
    <x v="0"/>
  </r>
  <r>
    <n v="12590"/>
    <x v="1"/>
    <x v="1"/>
    <n v="30000"/>
    <x v="0"/>
    <n v="1"/>
    <x v="0"/>
    <s v="Clerical"/>
    <s v="Yes"/>
    <n v="0"/>
    <x v="0"/>
    <x v="0"/>
    <n v="63"/>
    <x v="1"/>
    <x v="0"/>
  </r>
  <r>
    <n v="17841"/>
    <x v="1"/>
    <x v="1"/>
    <n v="30000"/>
    <x v="0"/>
    <n v="0"/>
    <x v="1"/>
    <s v="Clerical"/>
    <s v="No"/>
    <n v="1"/>
    <x v="0"/>
    <x v="0"/>
    <n v="29"/>
    <x v="3"/>
    <x v="1"/>
  </r>
  <r>
    <n v="18283"/>
    <x v="1"/>
    <x v="0"/>
    <n v="100000"/>
    <x v="4"/>
    <n v="0"/>
    <x v="0"/>
    <s v="Professional"/>
    <s v="No"/>
    <n v="1"/>
    <x v="2"/>
    <x v="1"/>
    <n v="40"/>
    <x v="0"/>
    <x v="0"/>
  </r>
  <r>
    <n v="18299"/>
    <x v="0"/>
    <x v="1"/>
    <n v="70000"/>
    <x v="1"/>
    <n v="5"/>
    <x v="1"/>
    <s v="Skilled Manual"/>
    <s v="Yes"/>
    <n v="2"/>
    <x v="2"/>
    <x v="1"/>
    <n v="44"/>
    <x v="0"/>
    <x v="0"/>
  </r>
  <r>
    <n v="16466"/>
    <x v="1"/>
    <x v="0"/>
    <n v="20000"/>
    <x v="0"/>
    <n v="0"/>
    <x v="3"/>
    <s v="Manual"/>
    <s v="No"/>
    <n v="2"/>
    <x v="0"/>
    <x v="0"/>
    <n v="32"/>
    <x v="0"/>
    <x v="1"/>
  </r>
  <r>
    <n v="19273"/>
    <x v="0"/>
    <x v="0"/>
    <n v="20000"/>
    <x v="0"/>
    <n v="2"/>
    <x v="1"/>
    <s v="Manual"/>
    <s v="Yes"/>
    <n v="0"/>
    <x v="0"/>
    <x v="0"/>
    <n v="63"/>
    <x v="1"/>
    <x v="0"/>
  </r>
  <r>
    <n v="22400"/>
    <x v="0"/>
    <x v="1"/>
    <n v="10000"/>
    <x v="2"/>
    <n v="0"/>
    <x v="1"/>
    <s v="Manual"/>
    <s v="No"/>
    <n v="1"/>
    <x v="0"/>
    <x v="1"/>
    <n v="26"/>
    <x v="3"/>
    <x v="1"/>
  </r>
  <r>
    <n v="20942"/>
    <x v="1"/>
    <x v="0"/>
    <n v="20000"/>
    <x v="0"/>
    <n v="0"/>
    <x v="2"/>
    <s v="Manual"/>
    <s v="No"/>
    <n v="1"/>
    <x v="2"/>
    <x v="0"/>
    <n v="31"/>
    <x v="0"/>
    <x v="0"/>
  </r>
  <r>
    <n v="18484"/>
    <x v="1"/>
    <x v="1"/>
    <n v="80000"/>
    <x v="1"/>
    <n v="2"/>
    <x v="2"/>
    <s v="Skilled Manual"/>
    <s v="No"/>
    <n v="2"/>
    <x v="3"/>
    <x v="1"/>
    <n v="50"/>
    <x v="2"/>
    <x v="1"/>
  </r>
  <r>
    <n v="12291"/>
    <x v="1"/>
    <x v="1"/>
    <n v="90000"/>
    <x v="1"/>
    <n v="5"/>
    <x v="1"/>
    <s v="Professional"/>
    <s v="No"/>
    <n v="2"/>
    <x v="1"/>
    <x v="0"/>
    <n v="62"/>
    <x v="1"/>
    <x v="1"/>
  </r>
  <r>
    <n v="28380"/>
    <x v="1"/>
    <x v="0"/>
    <n v="10000"/>
    <x v="2"/>
    <n v="5"/>
    <x v="3"/>
    <s v="Manual"/>
    <s v="No"/>
    <n v="2"/>
    <x v="0"/>
    <x v="0"/>
    <n v="41"/>
    <x v="0"/>
    <x v="0"/>
  </r>
  <r>
    <n v="17891"/>
    <x v="0"/>
    <x v="0"/>
    <n v="10000"/>
    <x v="2"/>
    <n v="2"/>
    <x v="1"/>
    <s v="Manual"/>
    <s v="Yes"/>
    <n v="1"/>
    <x v="0"/>
    <x v="0"/>
    <n v="50"/>
    <x v="2"/>
    <x v="1"/>
  </r>
  <r>
    <n v="27832"/>
    <x v="1"/>
    <x v="0"/>
    <n v="30000"/>
    <x v="0"/>
    <n v="0"/>
    <x v="1"/>
    <s v="Clerical"/>
    <s v="No"/>
    <n v="1"/>
    <x v="1"/>
    <x v="0"/>
    <n v="30"/>
    <x v="0"/>
    <x v="0"/>
  </r>
  <r>
    <n v="26863"/>
    <x v="1"/>
    <x v="1"/>
    <n v="20000"/>
    <x v="0"/>
    <n v="0"/>
    <x v="2"/>
    <s v="Manual"/>
    <s v="No"/>
    <n v="1"/>
    <x v="1"/>
    <x v="0"/>
    <n v="28"/>
    <x v="3"/>
    <x v="0"/>
  </r>
  <r>
    <n v="16259"/>
    <x v="1"/>
    <x v="0"/>
    <n v="10000"/>
    <x v="2"/>
    <n v="4"/>
    <x v="3"/>
    <s v="Manual"/>
    <s v="Yes"/>
    <n v="2"/>
    <x v="0"/>
    <x v="0"/>
    <n v="40"/>
    <x v="0"/>
    <x v="1"/>
  </r>
  <r>
    <n v="27803"/>
    <x v="1"/>
    <x v="0"/>
    <n v="30000"/>
    <x v="0"/>
    <n v="2"/>
    <x v="1"/>
    <s v="Clerical"/>
    <s v="No"/>
    <n v="0"/>
    <x v="0"/>
    <x v="0"/>
    <n v="43"/>
    <x v="0"/>
    <x v="0"/>
  </r>
  <r>
    <n v="14347"/>
    <x v="1"/>
    <x v="0"/>
    <n v="40000"/>
    <x v="0"/>
    <n v="2"/>
    <x v="0"/>
    <s v="Management"/>
    <s v="Yes"/>
    <n v="2"/>
    <x v="2"/>
    <x v="1"/>
    <n v="65"/>
    <x v="1"/>
    <x v="1"/>
  </r>
  <r>
    <n v="17703"/>
    <x v="0"/>
    <x v="0"/>
    <n v="10000"/>
    <x v="2"/>
    <n v="1"/>
    <x v="4"/>
    <s v="Manual"/>
    <s v="Yes"/>
    <n v="0"/>
    <x v="0"/>
    <x v="0"/>
    <n v="40"/>
    <x v="0"/>
    <x v="0"/>
  </r>
  <r>
    <n v="17185"/>
    <x v="0"/>
    <x v="0"/>
    <n v="170000"/>
    <x v="3"/>
    <n v="4"/>
    <x v="1"/>
    <s v="Professional"/>
    <s v="No"/>
    <n v="3"/>
    <x v="2"/>
    <x v="0"/>
    <n v="48"/>
    <x v="2"/>
    <x v="1"/>
  </r>
  <r>
    <n v="29380"/>
    <x v="0"/>
    <x v="0"/>
    <n v="20000"/>
    <x v="0"/>
    <n v="3"/>
    <x v="2"/>
    <s v="Manual"/>
    <s v="Yes"/>
    <n v="0"/>
    <x v="0"/>
    <x v="0"/>
    <n v="41"/>
    <x v="0"/>
    <x v="1"/>
  </r>
  <r>
    <n v="23986"/>
    <x v="0"/>
    <x v="0"/>
    <n v="20000"/>
    <x v="0"/>
    <n v="1"/>
    <x v="0"/>
    <s v="Clerical"/>
    <s v="Yes"/>
    <n v="0"/>
    <x v="0"/>
    <x v="0"/>
    <n v="66"/>
    <x v="1"/>
    <x v="1"/>
  </r>
  <r>
    <n v="24466"/>
    <x v="0"/>
    <x v="0"/>
    <n v="60000"/>
    <x v="1"/>
    <n v="1"/>
    <x v="1"/>
    <s v="Skilled Manual"/>
    <s v="Yes"/>
    <n v="1"/>
    <x v="2"/>
    <x v="1"/>
    <n v="46"/>
    <x v="2"/>
    <x v="1"/>
  </r>
  <r>
    <n v="29097"/>
    <x v="1"/>
    <x v="0"/>
    <n v="40000"/>
    <x v="0"/>
    <n v="2"/>
    <x v="1"/>
    <s v="Skilled Manual"/>
    <s v="Yes"/>
    <n v="2"/>
    <x v="2"/>
    <x v="1"/>
    <n v="52"/>
    <x v="2"/>
    <x v="1"/>
  </r>
  <r>
    <n v="19487"/>
    <x v="0"/>
    <x v="1"/>
    <n v="30000"/>
    <x v="0"/>
    <n v="2"/>
    <x v="1"/>
    <s v="Clerical"/>
    <s v="No"/>
    <n v="2"/>
    <x v="0"/>
    <x v="0"/>
    <n v="42"/>
    <x v="0"/>
    <x v="0"/>
  </r>
  <r>
    <n v="14939"/>
    <x v="1"/>
    <x v="1"/>
    <n v="40000"/>
    <x v="0"/>
    <n v="0"/>
    <x v="0"/>
    <s v="Clerical"/>
    <s v="Yes"/>
    <n v="0"/>
    <x v="0"/>
    <x v="0"/>
    <n v="39"/>
    <x v="0"/>
    <x v="1"/>
  </r>
  <r>
    <n v="13826"/>
    <x v="1"/>
    <x v="0"/>
    <n v="30000"/>
    <x v="0"/>
    <n v="0"/>
    <x v="1"/>
    <s v="Clerical"/>
    <s v="No"/>
    <n v="1"/>
    <x v="0"/>
    <x v="0"/>
    <n v="28"/>
    <x v="3"/>
    <x v="0"/>
  </r>
  <r>
    <n v="20619"/>
    <x v="1"/>
    <x v="1"/>
    <n v="80000"/>
    <x v="1"/>
    <n v="0"/>
    <x v="0"/>
    <s v="Professional"/>
    <s v="No"/>
    <n v="4"/>
    <x v="4"/>
    <x v="1"/>
    <n v="35"/>
    <x v="0"/>
    <x v="0"/>
  </r>
  <r>
    <n v="12558"/>
    <x v="0"/>
    <x v="0"/>
    <n v="20000"/>
    <x v="0"/>
    <n v="1"/>
    <x v="0"/>
    <s v="Clerical"/>
    <s v="Yes"/>
    <n v="0"/>
    <x v="0"/>
    <x v="0"/>
    <n v="65"/>
    <x v="1"/>
    <x v="0"/>
  </r>
  <r>
    <n v="24871"/>
    <x v="1"/>
    <x v="0"/>
    <n v="90000"/>
    <x v="1"/>
    <n v="4"/>
    <x v="2"/>
    <s v="Management"/>
    <s v="No"/>
    <n v="3"/>
    <x v="2"/>
    <x v="0"/>
    <n v="56"/>
    <x v="2"/>
    <x v="0"/>
  </r>
  <r>
    <n v="17319"/>
    <x v="1"/>
    <x v="0"/>
    <n v="70000"/>
    <x v="1"/>
    <n v="0"/>
    <x v="0"/>
    <s v="Professional"/>
    <s v="No"/>
    <n v="1"/>
    <x v="2"/>
    <x v="1"/>
    <n v="42"/>
    <x v="0"/>
    <x v="0"/>
  </r>
  <r>
    <n v="28906"/>
    <x v="0"/>
    <x v="1"/>
    <n v="80000"/>
    <x v="1"/>
    <n v="4"/>
    <x v="2"/>
    <s v="Professional"/>
    <s v="Yes"/>
    <n v="2"/>
    <x v="4"/>
    <x v="0"/>
    <n v="54"/>
    <x v="2"/>
    <x v="0"/>
  </r>
  <r>
    <n v="12808"/>
    <x v="0"/>
    <x v="1"/>
    <n v="40000"/>
    <x v="0"/>
    <n v="0"/>
    <x v="0"/>
    <s v="Clerical"/>
    <s v="Yes"/>
    <n v="0"/>
    <x v="0"/>
    <x v="0"/>
    <n v="38"/>
    <x v="0"/>
    <x v="1"/>
  </r>
  <r>
    <n v="20567"/>
    <x v="0"/>
    <x v="1"/>
    <n v="130000"/>
    <x v="4"/>
    <n v="4"/>
    <x v="1"/>
    <s v="Professional"/>
    <s v="No"/>
    <n v="4"/>
    <x v="2"/>
    <x v="0"/>
    <n v="61"/>
    <x v="1"/>
    <x v="1"/>
  </r>
  <r>
    <n v="25502"/>
    <x v="0"/>
    <x v="0"/>
    <n v="40000"/>
    <x v="0"/>
    <n v="1"/>
    <x v="0"/>
    <s v="Skilled Manual"/>
    <s v="Yes"/>
    <n v="0"/>
    <x v="0"/>
    <x v="0"/>
    <n v="43"/>
    <x v="0"/>
    <x v="1"/>
  </r>
  <r>
    <n v="15580"/>
    <x v="0"/>
    <x v="1"/>
    <n v="60000"/>
    <x v="1"/>
    <n v="2"/>
    <x v="0"/>
    <s v="Professional"/>
    <s v="Yes"/>
    <n v="1"/>
    <x v="1"/>
    <x v="1"/>
    <n v="38"/>
    <x v="0"/>
    <x v="1"/>
  </r>
  <r>
    <n v="24185"/>
    <x v="1"/>
    <x v="0"/>
    <n v="10000"/>
    <x v="2"/>
    <n v="1"/>
    <x v="2"/>
    <s v="Manual"/>
    <s v="No"/>
    <n v="1"/>
    <x v="3"/>
    <x v="0"/>
    <n v="45"/>
    <x v="2"/>
    <x v="0"/>
  </r>
  <r>
    <n v="19291"/>
    <x v="1"/>
    <x v="0"/>
    <n v="10000"/>
    <x v="2"/>
    <n v="2"/>
    <x v="2"/>
    <s v="Manual"/>
    <s v="Yes"/>
    <n v="0"/>
    <x v="0"/>
    <x v="0"/>
    <n v="35"/>
    <x v="0"/>
    <x v="0"/>
  </r>
  <r>
    <n v="16713"/>
    <x v="0"/>
    <x v="1"/>
    <n v="40000"/>
    <x v="0"/>
    <n v="2"/>
    <x v="0"/>
    <s v="Management"/>
    <s v="Yes"/>
    <n v="1"/>
    <x v="0"/>
    <x v="1"/>
    <n v="52"/>
    <x v="2"/>
    <x v="1"/>
  </r>
  <r>
    <n v="16185"/>
    <x v="1"/>
    <x v="1"/>
    <n v="60000"/>
    <x v="1"/>
    <n v="4"/>
    <x v="0"/>
    <s v="Professional"/>
    <s v="Yes"/>
    <n v="3"/>
    <x v="4"/>
    <x v="1"/>
    <n v="41"/>
    <x v="0"/>
    <x v="0"/>
  </r>
  <r>
    <n v="14927"/>
    <x v="0"/>
    <x v="0"/>
    <n v="30000"/>
    <x v="0"/>
    <n v="1"/>
    <x v="0"/>
    <s v="Clerical"/>
    <s v="Yes"/>
    <n v="0"/>
    <x v="0"/>
    <x v="0"/>
    <n v="37"/>
    <x v="0"/>
    <x v="1"/>
  </r>
  <r>
    <n v="29337"/>
    <x v="1"/>
    <x v="1"/>
    <n v="30000"/>
    <x v="0"/>
    <n v="2"/>
    <x v="1"/>
    <s v="Clerical"/>
    <s v="Yes"/>
    <n v="2"/>
    <x v="2"/>
    <x v="1"/>
    <n v="68"/>
    <x v="1"/>
    <x v="0"/>
  </r>
  <r>
    <n v="29355"/>
    <x v="0"/>
    <x v="0"/>
    <n v="40000"/>
    <x v="0"/>
    <n v="0"/>
    <x v="4"/>
    <s v="Clerical"/>
    <s v="Yes"/>
    <n v="0"/>
    <x v="0"/>
    <x v="0"/>
    <n v="37"/>
    <x v="0"/>
    <x v="1"/>
  </r>
  <r>
    <n v="25303"/>
    <x v="1"/>
    <x v="1"/>
    <n v="30000"/>
    <x v="0"/>
    <n v="0"/>
    <x v="2"/>
    <s v="Manual"/>
    <s v="Yes"/>
    <n v="1"/>
    <x v="1"/>
    <x v="0"/>
    <n v="33"/>
    <x v="0"/>
    <x v="1"/>
  </r>
  <r>
    <n v="14813"/>
    <x v="1"/>
    <x v="0"/>
    <n v="20000"/>
    <x v="0"/>
    <n v="4"/>
    <x v="2"/>
    <s v="Manual"/>
    <s v="Yes"/>
    <n v="1"/>
    <x v="0"/>
    <x v="0"/>
    <n v="43"/>
    <x v="0"/>
    <x v="1"/>
  </r>
  <r>
    <n v="16438"/>
    <x v="0"/>
    <x v="0"/>
    <n v="10000"/>
    <x v="2"/>
    <n v="0"/>
    <x v="3"/>
    <s v="Manual"/>
    <s v="No"/>
    <n v="2"/>
    <x v="0"/>
    <x v="0"/>
    <n v="30"/>
    <x v="0"/>
    <x v="0"/>
  </r>
  <r>
    <n v="14238"/>
    <x v="0"/>
    <x v="1"/>
    <n v="120000"/>
    <x v="4"/>
    <n v="0"/>
    <x v="3"/>
    <s v="Professional"/>
    <s v="Yes"/>
    <n v="4"/>
    <x v="4"/>
    <x v="1"/>
    <n v="36"/>
    <x v="0"/>
    <x v="1"/>
  </r>
  <r>
    <n v="16200"/>
    <x v="1"/>
    <x v="0"/>
    <n v="10000"/>
    <x v="2"/>
    <n v="0"/>
    <x v="3"/>
    <s v="Manual"/>
    <s v="No"/>
    <n v="2"/>
    <x v="0"/>
    <x v="0"/>
    <n v="35"/>
    <x v="0"/>
    <x v="0"/>
  </r>
  <r>
    <n v="24857"/>
    <x v="0"/>
    <x v="0"/>
    <n v="130000"/>
    <x v="4"/>
    <n v="3"/>
    <x v="2"/>
    <s v="Professional"/>
    <s v="Yes"/>
    <n v="4"/>
    <x v="0"/>
    <x v="0"/>
    <n v="52"/>
    <x v="2"/>
    <x v="0"/>
  </r>
  <r>
    <n v="26956"/>
    <x v="1"/>
    <x v="0"/>
    <n v="20000"/>
    <x v="0"/>
    <n v="0"/>
    <x v="1"/>
    <s v="Manual"/>
    <s v="No"/>
    <n v="1"/>
    <x v="1"/>
    <x v="0"/>
    <n v="36"/>
    <x v="0"/>
    <x v="1"/>
  </r>
  <r>
    <n v="14517"/>
    <x v="0"/>
    <x v="0"/>
    <n v="20000"/>
    <x v="0"/>
    <n v="3"/>
    <x v="2"/>
    <s v="Skilled Manual"/>
    <s v="No"/>
    <n v="2"/>
    <x v="3"/>
    <x v="1"/>
    <n v="62"/>
    <x v="1"/>
    <x v="0"/>
  </r>
  <r>
    <n v="12678"/>
    <x v="1"/>
    <x v="0"/>
    <n v="130000"/>
    <x v="4"/>
    <n v="4"/>
    <x v="2"/>
    <s v="Management"/>
    <s v="Yes"/>
    <n v="4"/>
    <x v="0"/>
    <x v="1"/>
    <n v="31"/>
    <x v="0"/>
    <x v="0"/>
  </r>
  <r>
    <n v="16188"/>
    <x v="1"/>
    <x v="0"/>
    <n v="20000"/>
    <x v="0"/>
    <n v="0"/>
    <x v="3"/>
    <s v="Manual"/>
    <s v="No"/>
    <n v="2"/>
    <x v="3"/>
    <x v="0"/>
    <n v="26"/>
    <x v="3"/>
    <x v="0"/>
  </r>
  <r>
    <n v="27969"/>
    <x v="0"/>
    <x v="1"/>
    <n v="80000"/>
    <x v="1"/>
    <n v="0"/>
    <x v="0"/>
    <s v="Professional"/>
    <s v="Yes"/>
    <n v="2"/>
    <x v="4"/>
    <x v="1"/>
    <n v="29"/>
    <x v="3"/>
    <x v="1"/>
  </r>
  <r>
    <n v="15752"/>
    <x v="0"/>
    <x v="1"/>
    <n v="80000"/>
    <x v="1"/>
    <n v="2"/>
    <x v="2"/>
    <s v="Skilled Manual"/>
    <s v="No"/>
    <n v="2"/>
    <x v="3"/>
    <x v="1"/>
    <n v="50"/>
    <x v="2"/>
    <x v="1"/>
  </r>
  <r>
    <n v="27745"/>
    <x v="1"/>
    <x v="1"/>
    <n v="40000"/>
    <x v="0"/>
    <n v="2"/>
    <x v="0"/>
    <s v="Management"/>
    <s v="Yes"/>
    <n v="2"/>
    <x v="2"/>
    <x v="1"/>
    <n v="63"/>
    <x v="1"/>
    <x v="1"/>
  </r>
  <r>
    <n v="20828"/>
    <x v="0"/>
    <x v="0"/>
    <n v="30000"/>
    <x v="0"/>
    <n v="4"/>
    <x v="4"/>
    <s v="Clerical"/>
    <s v="Yes"/>
    <n v="0"/>
    <x v="0"/>
    <x v="0"/>
    <n v="45"/>
    <x v="2"/>
    <x v="1"/>
  </r>
  <r>
    <n v="19461"/>
    <x v="1"/>
    <x v="0"/>
    <n v="10000"/>
    <x v="2"/>
    <n v="4"/>
    <x v="3"/>
    <s v="Manual"/>
    <s v="Yes"/>
    <n v="2"/>
    <x v="0"/>
    <x v="0"/>
    <n v="40"/>
    <x v="0"/>
    <x v="0"/>
  </r>
  <r>
    <n v="26941"/>
    <x v="0"/>
    <x v="1"/>
    <n v="30000"/>
    <x v="0"/>
    <n v="0"/>
    <x v="0"/>
    <s v="Clerical"/>
    <s v="Yes"/>
    <n v="0"/>
    <x v="0"/>
    <x v="0"/>
    <n v="47"/>
    <x v="2"/>
    <x v="1"/>
  </r>
  <r>
    <n v="28412"/>
    <x v="1"/>
    <x v="1"/>
    <n v="20000"/>
    <x v="0"/>
    <n v="0"/>
    <x v="2"/>
    <s v="Manual"/>
    <s v="No"/>
    <n v="1"/>
    <x v="1"/>
    <x v="0"/>
    <n v="29"/>
    <x v="3"/>
    <x v="0"/>
  </r>
  <r>
    <n v="24485"/>
    <x v="1"/>
    <x v="1"/>
    <n v="40000"/>
    <x v="0"/>
    <n v="2"/>
    <x v="0"/>
    <s v="Management"/>
    <s v="No"/>
    <n v="1"/>
    <x v="2"/>
    <x v="1"/>
    <n v="52"/>
    <x v="2"/>
    <x v="1"/>
  </r>
  <r>
    <n v="16514"/>
    <x v="1"/>
    <x v="1"/>
    <n v="10000"/>
    <x v="2"/>
    <n v="0"/>
    <x v="1"/>
    <s v="Manual"/>
    <s v="Yes"/>
    <n v="1"/>
    <x v="3"/>
    <x v="1"/>
    <n v="26"/>
    <x v="3"/>
    <x v="1"/>
  </r>
  <r>
    <n v="17191"/>
    <x v="1"/>
    <x v="1"/>
    <n v="130000"/>
    <x v="4"/>
    <n v="3"/>
    <x v="1"/>
    <s v="Professional"/>
    <s v="No"/>
    <n v="3"/>
    <x v="0"/>
    <x v="0"/>
    <n v="51"/>
    <x v="2"/>
    <x v="1"/>
  </r>
  <r>
    <n v="19608"/>
    <x v="0"/>
    <x v="1"/>
    <n v="80000"/>
    <x v="1"/>
    <n v="5"/>
    <x v="0"/>
    <s v="Professional"/>
    <s v="Yes"/>
    <n v="4"/>
    <x v="3"/>
    <x v="1"/>
    <n v="40"/>
    <x v="0"/>
    <x v="0"/>
  </r>
  <r>
    <n v="24119"/>
    <x v="1"/>
    <x v="1"/>
    <n v="30000"/>
    <x v="0"/>
    <n v="0"/>
    <x v="1"/>
    <s v="Clerical"/>
    <s v="No"/>
    <n v="1"/>
    <x v="1"/>
    <x v="0"/>
    <n v="29"/>
    <x v="3"/>
    <x v="0"/>
  </r>
  <r>
    <n v="25458"/>
    <x v="0"/>
    <x v="1"/>
    <n v="20000"/>
    <x v="0"/>
    <n v="1"/>
    <x v="2"/>
    <s v="Manual"/>
    <s v="No"/>
    <n v="1"/>
    <x v="3"/>
    <x v="0"/>
    <n v="40"/>
    <x v="0"/>
    <x v="1"/>
  </r>
  <r>
    <n v="26886"/>
    <x v="1"/>
    <x v="0"/>
    <n v="30000"/>
    <x v="0"/>
    <n v="0"/>
    <x v="1"/>
    <s v="Clerical"/>
    <s v="No"/>
    <n v="1"/>
    <x v="0"/>
    <x v="0"/>
    <n v="29"/>
    <x v="3"/>
    <x v="1"/>
  </r>
  <r>
    <n v="28436"/>
    <x v="1"/>
    <x v="1"/>
    <n v="30000"/>
    <x v="0"/>
    <n v="0"/>
    <x v="1"/>
    <s v="Clerical"/>
    <s v="No"/>
    <n v="1"/>
    <x v="0"/>
    <x v="0"/>
    <n v="30"/>
    <x v="0"/>
    <x v="1"/>
  </r>
  <r>
    <n v="19562"/>
    <x v="1"/>
    <x v="0"/>
    <n v="60000"/>
    <x v="1"/>
    <n v="2"/>
    <x v="0"/>
    <s v="Professional"/>
    <s v="Yes"/>
    <n v="1"/>
    <x v="1"/>
    <x v="1"/>
    <n v="37"/>
    <x v="0"/>
    <x v="1"/>
  </r>
  <r>
    <n v="15608"/>
    <x v="1"/>
    <x v="0"/>
    <n v="30000"/>
    <x v="0"/>
    <n v="0"/>
    <x v="1"/>
    <s v="Clerical"/>
    <s v="No"/>
    <n v="1"/>
    <x v="1"/>
    <x v="0"/>
    <n v="33"/>
    <x v="0"/>
    <x v="0"/>
  </r>
  <r>
    <n v="16487"/>
    <x v="1"/>
    <x v="0"/>
    <n v="30000"/>
    <x v="0"/>
    <n v="3"/>
    <x v="2"/>
    <s v="Skilled Manual"/>
    <s v="Yes"/>
    <n v="2"/>
    <x v="2"/>
    <x v="1"/>
    <n v="55"/>
    <x v="2"/>
    <x v="0"/>
  </r>
  <r>
    <n v="17197"/>
    <x v="1"/>
    <x v="0"/>
    <n v="90000"/>
    <x v="1"/>
    <n v="5"/>
    <x v="1"/>
    <s v="Professional"/>
    <s v="Yes"/>
    <n v="2"/>
    <x v="4"/>
    <x v="0"/>
    <n v="62"/>
    <x v="1"/>
    <x v="0"/>
  </r>
  <r>
    <n v="12507"/>
    <x v="0"/>
    <x v="1"/>
    <n v="30000"/>
    <x v="0"/>
    <n v="1"/>
    <x v="1"/>
    <s v="Clerical"/>
    <s v="Yes"/>
    <n v="1"/>
    <x v="0"/>
    <x v="0"/>
    <n v="43"/>
    <x v="0"/>
    <x v="0"/>
  </r>
  <r>
    <n v="23940"/>
    <x v="0"/>
    <x v="1"/>
    <n v="40000"/>
    <x v="0"/>
    <n v="1"/>
    <x v="0"/>
    <s v="Skilled Manual"/>
    <s v="Yes"/>
    <n v="1"/>
    <x v="0"/>
    <x v="0"/>
    <n v="44"/>
    <x v="0"/>
    <x v="1"/>
  </r>
  <r>
    <n v="19441"/>
    <x v="0"/>
    <x v="1"/>
    <n v="40000"/>
    <x v="0"/>
    <n v="0"/>
    <x v="4"/>
    <s v="Clerical"/>
    <s v="Yes"/>
    <n v="0"/>
    <x v="0"/>
    <x v="0"/>
    <n v="25"/>
    <x v="3"/>
    <x v="1"/>
  </r>
  <r>
    <n v="26852"/>
    <x v="0"/>
    <x v="0"/>
    <n v="20000"/>
    <x v="0"/>
    <n v="3"/>
    <x v="2"/>
    <s v="Manual"/>
    <s v="Yes"/>
    <n v="2"/>
    <x v="0"/>
    <x v="0"/>
    <n v="43"/>
    <x v="0"/>
    <x v="0"/>
  </r>
  <r>
    <n v="12274"/>
    <x v="1"/>
    <x v="1"/>
    <n v="10000"/>
    <x v="2"/>
    <n v="2"/>
    <x v="2"/>
    <s v="Manual"/>
    <s v="Yes"/>
    <n v="0"/>
    <x v="0"/>
    <x v="0"/>
    <n v="35"/>
    <x v="0"/>
    <x v="0"/>
  </r>
  <r>
    <n v="20236"/>
    <x v="1"/>
    <x v="1"/>
    <n v="60000"/>
    <x v="1"/>
    <n v="3"/>
    <x v="0"/>
    <s v="Professional"/>
    <s v="No"/>
    <n v="2"/>
    <x v="0"/>
    <x v="1"/>
    <n v="43"/>
    <x v="0"/>
    <x v="1"/>
  </r>
  <r>
    <n v="24149"/>
    <x v="0"/>
    <x v="1"/>
    <n v="10000"/>
    <x v="2"/>
    <n v="2"/>
    <x v="1"/>
    <s v="Manual"/>
    <s v="Yes"/>
    <n v="0"/>
    <x v="3"/>
    <x v="0"/>
    <n v="49"/>
    <x v="2"/>
    <x v="0"/>
  </r>
  <r>
    <n v="26139"/>
    <x v="1"/>
    <x v="1"/>
    <n v="60000"/>
    <x v="1"/>
    <n v="1"/>
    <x v="1"/>
    <s v="Skilled Manual"/>
    <s v="Yes"/>
    <n v="1"/>
    <x v="2"/>
    <x v="1"/>
    <n v="45"/>
    <x v="2"/>
    <x v="0"/>
  </r>
  <r>
    <n v="18491"/>
    <x v="1"/>
    <x v="0"/>
    <n v="70000"/>
    <x v="1"/>
    <n v="2"/>
    <x v="2"/>
    <s v="Professional"/>
    <s v="Yes"/>
    <n v="2"/>
    <x v="2"/>
    <x v="1"/>
    <n v="49"/>
    <x v="2"/>
    <x v="1"/>
  </r>
  <r>
    <n v="22707"/>
    <x v="1"/>
    <x v="0"/>
    <n v="30000"/>
    <x v="0"/>
    <n v="0"/>
    <x v="1"/>
    <s v="Clerical"/>
    <s v="No"/>
    <n v="1"/>
    <x v="1"/>
    <x v="0"/>
    <n v="30"/>
    <x v="0"/>
    <x v="0"/>
  </r>
  <r>
    <n v="20430"/>
    <x v="0"/>
    <x v="1"/>
    <n v="70000"/>
    <x v="1"/>
    <n v="2"/>
    <x v="1"/>
    <s v="Skilled Manual"/>
    <s v="Yes"/>
    <n v="2"/>
    <x v="2"/>
    <x v="1"/>
    <n v="52"/>
    <x v="2"/>
    <x v="1"/>
  </r>
  <r>
    <n v="27494"/>
    <x v="1"/>
    <x v="0"/>
    <n v="40000"/>
    <x v="0"/>
    <n v="2"/>
    <x v="1"/>
    <s v="Skilled Manual"/>
    <s v="No"/>
    <n v="2"/>
    <x v="3"/>
    <x v="1"/>
    <n v="53"/>
    <x v="2"/>
    <x v="1"/>
  </r>
  <r>
    <n v="26829"/>
    <x v="0"/>
    <x v="0"/>
    <n v="40000"/>
    <x v="0"/>
    <n v="0"/>
    <x v="0"/>
    <s v="Clerical"/>
    <s v="Yes"/>
    <n v="0"/>
    <x v="0"/>
    <x v="0"/>
    <n v="38"/>
    <x v="0"/>
    <x v="1"/>
  </r>
  <r>
    <n v="28395"/>
    <x v="1"/>
    <x v="1"/>
    <n v="40000"/>
    <x v="0"/>
    <n v="0"/>
    <x v="0"/>
    <s v="Professional"/>
    <s v="No"/>
    <n v="0"/>
    <x v="0"/>
    <x v="0"/>
    <n v="39"/>
    <x v="0"/>
    <x v="1"/>
  </r>
  <r>
    <n v="21006"/>
    <x v="1"/>
    <x v="0"/>
    <n v="30000"/>
    <x v="0"/>
    <n v="1"/>
    <x v="1"/>
    <s v="Manual"/>
    <s v="No"/>
    <n v="0"/>
    <x v="0"/>
    <x v="0"/>
    <n v="46"/>
    <x v="2"/>
    <x v="1"/>
  </r>
  <r>
    <n v="14682"/>
    <x v="1"/>
    <x v="0"/>
    <n v="70000"/>
    <x v="1"/>
    <n v="0"/>
    <x v="0"/>
    <s v="Professional"/>
    <s v="No"/>
    <n v="1"/>
    <x v="2"/>
    <x v="1"/>
    <n v="38"/>
    <x v="0"/>
    <x v="0"/>
  </r>
  <r>
    <n v="17650"/>
    <x v="1"/>
    <x v="0"/>
    <n v="40000"/>
    <x v="0"/>
    <n v="2"/>
    <x v="1"/>
    <s v="Clerical"/>
    <s v="Yes"/>
    <n v="2"/>
    <x v="3"/>
    <x v="0"/>
    <n v="35"/>
    <x v="0"/>
    <x v="0"/>
  </r>
  <r>
    <n v="29191"/>
    <x v="1"/>
    <x v="0"/>
    <n v="130000"/>
    <x v="4"/>
    <n v="1"/>
    <x v="4"/>
    <s v="Management"/>
    <s v="No"/>
    <n v="1"/>
    <x v="0"/>
    <x v="1"/>
    <n v="36"/>
    <x v="0"/>
    <x v="1"/>
  </r>
  <r>
    <n v="15030"/>
    <x v="0"/>
    <x v="1"/>
    <n v="20000"/>
    <x v="0"/>
    <n v="0"/>
    <x v="0"/>
    <s v="Clerical"/>
    <s v="Yes"/>
    <n v="0"/>
    <x v="0"/>
    <x v="1"/>
    <n v="26"/>
    <x v="3"/>
    <x v="1"/>
  </r>
  <r>
    <n v="24140"/>
    <x v="1"/>
    <x v="1"/>
    <n v="10000"/>
    <x v="2"/>
    <n v="0"/>
    <x v="4"/>
    <s v="Manual"/>
    <s v="No"/>
    <n v="0"/>
    <x v="0"/>
    <x v="0"/>
    <n v="30"/>
    <x v="0"/>
    <x v="1"/>
  </r>
  <r>
    <n v="22496"/>
    <x v="0"/>
    <x v="0"/>
    <n v="30000"/>
    <x v="0"/>
    <n v="1"/>
    <x v="0"/>
    <s v="Skilled Manual"/>
    <s v="Yes"/>
    <n v="2"/>
    <x v="0"/>
    <x v="0"/>
    <n v="42"/>
    <x v="0"/>
    <x v="0"/>
  </r>
  <r>
    <n v="24065"/>
    <x v="1"/>
    <x v="0"/>
    <n v="20000"/>
    <x v="0"/>
    <n v="0"/>
    <x v="2"/>
    <s v="Manual"/>
    <s v="Yes"/>
    <n v="0"/>
    <x v="0"/>
    <x v="0"/>
    <n v="40"/>
    <x v="0"/>
    <x v="1"/>
  </r>
  <r>
    <n v="19914"/>
    <x v="0"/>
    <x v="1"/>
    <n v="80000"/>
    <x v="1"/>
    <n v="5"/>
    <x v="0"/>
    <s v="Management"/>
    <s v="Yes"/>
    <n v="2"/>
    <x v="1"/>
    <x v="0"/>
    <n v="62"/>
    <x v="1"/>
    <x v="0"/>
  </r>
  <r>
    <n v="12871"/>
    <x v="1"/>
    <x v="0"/>
    <n v="30000"/>
    <x v="0"/>
    <n v="0"/>
    <x v="1"/>
    <s v="Clerical"/>
    <s v="No"/>
    <n v="1"/>
    <x v="1"/>
    <x v="0"/>
    <n v="29"/>
    <x v="3"/>
    <x v="0"/>
  </r>
  <r>
    <n v="22988"/>
    <x v="0"/>
    <x v="0"/>
    <n v="40000"/>
    <x v="0"/>
    <n v="2"/>
    <x v="0"/>
    <s v="Management"/>
    <s v="Yes"/>
    <n v="2"/>
    <x v="2"/>
    <x v="1"/>
    <n v="66"/>
    <x v="1"/>
    <x v="1"/>
  </r>
  <r>
    <n v="15922"/>
    <x v="0"/>
    <x v="1"/>
    <n v="150000"/>
    <x v="3"/>
    <n v="2"/>
    <x v="2"/>
    <s v="Professional"/>
    <s v="Yes"/>
    <n v="4"/>
    <x v="0"/>
    <x v="0"/>
    <n v="48"/>
    <x v="2"/>
    <x v="0"/>
  </r>
  <r>
    <n v="12344"/>
    <x v="1"/>
    <x v="0"/>
    <n v="80000"/>
    <x v="1"/>
    <n v="0"/>
    <x v="0"/>
    <s v="Professional"/>
    <s v="No"/>
    <n v="3"/>
    <x v="4"/>
    <x v="1"/>
    <n v="31"/>
    <x v="0"/>
    <x v="0"/>
  </r>
  <r>
    <n v="23627"/>
    <x v="1"/>
    <x v="0"/>
    <n v="100000"/>
    <x v="4"/>
    <n v="3"/>
    <x v="1"/>
    <s v="Management"/>
    <s v="No"/>
    <n v="4"/>
    <x v="2"/>
    <x v="0"/>
    <n v="56"/>
    <x v="2"/>
    <x v="0"/>
  </r>
  <r>
    <n v="27775"/>
    <x v="1"/>
    <x v="0"/>
    <n v="40000"/>
    <x v="0"/>
    <n v="0"/>
    <x v="0"/>
    <s v="Clerical"/>
    <s v="No"/>
    <n v="0"/>
    <x v="0"/>
    <x v="0"/>
    <n v="38"/>
    <x v="0"/>
    <x v="1"/>
  </r>
  <r>
    <n v="29301"/>
    <x v="0"/>
    <x v="1"/>
    <n v="80000"/>
    <x v="1"/>
    <n v="5"/>
    <x v="0"/>
    <s v="Professional"/>
    <s v="Yes"/>
    <n v="4"/>
    <x v="3"/>
    <x v="1"/>
    <n v="40"/>
    <x v="0"/>
    <x v="0"/>
  </r>
  <r>
    <n v="12716"/>
    <x v="1"/>
    <x v="1"/>
    <n v="30000"/>
    <x v="0"/>
    <n v="0"/>
    <x v="1"/>
    <s v="Clerical"/>
    <s v="Yes"/>
    <n v="1"/>
    <x v="1"/>
    <x v="0"/>
    <n v="32"/>
    <x v="0"/>
    <x v="0"/>
  </r>
  <r>
    <n v="12472"/>
    <x v="0"/>
    <x v="1"/>
    <n v="30000"/>
    <x v="0"/>
    <n v="1"/>
    <x v="0"/>
    <s v="Clerical"/>
    <s v="Yes"/>
    <n v="1"/>
    <x v="1"/>
    <x v="0"/>
    <n v="39"/>
    <x v="0"/>
    <x v="0"/>
  </r>
  <r>
    <n v="20970"/>
    <x v="1"/>
    <x v="1"/>
    <n v="10000"/>
    <x v="2"/>
    <n v="2"/>
    <x v="1"/>
    <s v="Manual"/>
    <s v="Yes"/>
    <n v="1"/>
    <x v="0"/>
    <x v="0"/>
    <n v="52"/>
    <x v="2"/>
    <x v="1"/>
  </r>
  <r>
    <n v="26818"/>
    <x v="1"/>
    <x v="1"/>
    <n v="10000"/>
    <x v="2"/>
    <n v="3"/>
    <x v="2"/>
    <s v="Manual"/>
    <s v="Yes"/>
    <n v="1"/>
    <x v="0"/>
    <x v="0"/>
    <n v="39"/>
    <x v="0"/>
    <x v="1"/>
  </r>
  <r>
    <n v="12993"/>
    <x v="0"/>
    <x v="1"/>
    <n v="60000"/>
    <x v="1"/>
    <n v="2"/>
    <x v="0"/>
    <s v="Professional"/>
    <s v="Yes"/>
    <n v="1"/>
    <x v="1"/>
    <x v="1"/>
    <n v="37"/>
    <x v="0"/>
    <x v="0"/>
  </r>
  <r>
    <n v="14192"/>
    <x v="0"/>
    <x v="1"/>
    <n v="90000"/>
    <x v="1"/>
    <n v="4"/>
    <x v="2"/>
    <s v="Management"/>
    <s v="Yes"/>
    <n v="3"/>
    <x v="2"/>
    <x v="0"/>
    <n v="56"/>
    <x v="2"/>
    <x v="1"/>
  </r>
  <r>
    <n v="19477"/>
    <x v="0"/>
    <x v="1"/>
    <n v="40000"/>
    <x v="0"/>
    <n v="0"/>
    <x v="0"/>
    <s v="Professional"/>
    <s v="Yes"/>
    <n v="0"/>
    <x v="0"/>
    <x v="0"/>
    <n v="40"/>
    <x v="0"/>
    <x v="1"/>
  </r>
  <r>
    <n v="26796"/>
    <x v="1"/>
    <x v="1"/>
    <n v="40000"/>
    <x v="0"/>
    <n v="2"/>
    <x v="0"/>
    <s v="Management"/>
    <s v="Yes"/>
    <n v="2"/>
    <x v="2"/>
    <x v="1"/>
    <n v="65"/>
    <x v="1"/>
    <x v="1"/>
  </r>
  <r>
    <n v="21094"/>
    <x v="1"/>
    <x v="0"/>
    <n v="30000"/>
    <x v="0"/>
    <n v="2"/>
    <x v="1"/>
    <s v="Clerical"/>
    <s v="Yes"/>
    <n v="2"/>
    <x v="0"/>
    <x v="0"/>
    <n v="42"/>
    <x v="0"/>
    <x v="0"/>
  </r>
  <r>
    <n v="12234"/>
    <x v="0"/>
    <x v="1"/>
    <n v="10000"/>
    <x v="2"/>
    <n v="2"/>
    <x v="1"/>
    <s v="Manual"/>
    <s v="Yes"/>
    <n v="1"/>
    <x v="1"/>
    <x v="0"/>
    <n v="52"/>
    <x v="2"/>
    <x v="0"/>
  </r>
  <r>
    <n v="28683"/>
    <x v="1"/>
    <x v="0"/>
    <n v="10000"/>
    <x v="2"/>
    <n v="1"/>
    <x v="2"/>
    <s v="Manual"/>
    <s v="No"/>
    <n v="1"/>
    <x v="2"/>
    <x v="0"/>
    <n v="35"/>
    <x v="0"/>
    <x v="1"/>
  </r>
  <r>
    <n v="17994"/>
    <x v="1"/>
    <x v="1"/>
    <n v="20000"/>
    <x v="0"/>
    <n v="2"/>
    <x v="2"/>
    <s v="Manual"/>
    <s v="Yes"/>
    <n v="2"/>
    <x v="0"/>
    <x v="0"/>
    <n v="42"/>
    <x v="0"/>
    <x v="0"/>
  </r>
  <r>
    <n v="24273"/>
    <x v="0"/>
    <x v="0"/>
    <n v="20000"/>
    <x v="0"/>
    <n v="2"/>
    <x v="3"/>
    <s v="Clerical"/>
    <s v="Yes"/>
    <n v="2"/>
    <x v="2"/>
    <x v="1"/>
    <n v="55"/>
    <x v="2"/>
    <x v="1"/>
  </r>
  <r>
    <n v="26547"/>
    <x v="1"/>
    <x v="0"/>
    <n v="30000"/>
    <x v="0"/>
    <n v="2"/>
    <x v="1"/>
    <s v="Clerical"/>
    <s v="No"/>
    <n v="2"/>
    <x v="2"/>
    <x v="1"/>
    <n v="60"/>
    <x v="1"/>
    <x v="1"/>
  </r>
  <r>
    <n v="22500"/>
    <x v="1"/>
    <x v="1"/>
    <n v="40000"/>
    <x v="0"/>
    <n v="0"/>
    <x v="0"/>
    <s v="Professional"/>
    <s v="No"/>
    <n v="0"/>
    <x v="0"/>
    <x v="0"/>
    <n v="40"/>
    <x v="0"/>
    <x v="1"/>
  </r>
  <r>
    <n v="23993"/>
    <x v="1"/>
    <x v="0"/>
    <n v="10000"/>
    <x v="2"/>
    <n v="0"/>
    <x v="1"/>
    <s v="Manual"/>
    <s v="No"/>
    <n v="1"/>
    <x v="0"/>
    <x v="1"/>
    <n v="26"/>
    <x v="3"/>
    <x v="1"/>
  </r>
  <r>
    <n v="14832"/>
    <x v="0"/>
    <x v="1"/>
    <n v="40000"/>
    <x v="0"/>
    <n v="1"/>
    <x v="0"/>
    <s v="Skilled Manual"/>
    <s v="Yes"/>
    <n v="0"/>
    <x v="0"/>
    <x v="0"/>
    <n v="42"/>
    <x v="0"/>
    <x v="1"/>
  </r>
  <r>
    <n v="16614"/>
    <x v="0"/>
    <x v="0"/>
    <n v="80000"/>
    <x v="1"/>
    <n v="0"/>
    <x v="0"/>
    <s v="Professional"/>
    <s v="Yes"/>
    <n v="3"/>
    <x v="4"/>
    <x v="1"/>
    <n v="32"/>
    <x v="0"/>
    <x v="0"/>
  </r>
  <r>
    <n v="20877"/>
    <x v="1"/>
    <x v="1"/>
    <n v="30000"/>
    <x v="0"/>
    <n v="1"/>
    <x v="0"/>
    <s v="Clerical"/>
    <s v="Yes"/>
    <n v="0"/>
    <x v="3"/>
    <x v="0"/>
    <n v="37"/>
    <x v="0"/>
    <x v="1"/>
  </r>
  <r>
    <n v="20729"/>
    <x v="0"/>
    <x v="0"/>
    <n v="40000"/>
    <x v="0"/>
    <n v="2"/>
    <x v="1"/>
    <s v="Clerical"/>
    <s v="No"/>
    <n v="1"/>
    <x v="0"/>
    <x v="0"/>
    <n v="34"/>
    <x v="0"/>
    <x v="0"/>
  </r>
  <r>
    <n v="22464"/>
    <x v="0"/>
    <x v="1"/>
    <n v="40000"/>
    <x v="0"/>
    <n v="0"/>
    <x v="4"/>
    <s v="Clerical"/>
    <s v="Yes"/>
    <n v="0"/>
    <x v="0"/>
    <x v="0"/>
    <n v="37"/>
    <x v="0"/>
    <x v="1"/>
  </r>
  <r>
    <n v="19475"/>
    <x v="0"/>
    <x v="0"/>
    <n v="40000"/>
    <x v="0"/>
    <n v="0"/>
    <x v="0"/>
    <s v="Professional"/>
    <s v="No"/>
    <n v="0"/>
    <x v="0"/>
    <x v="0"/>
    <n v="40"/>
    <x v="0"/>
    <x v="1"/>
  </r>
  <r>
    <n v="19675"/>
    <x v="0"/>
    <x v="1"/>
    <n v="20000"/>
    <x v="0"/>
    <n v="4"/>
    <x v="2"/>
    <s v="Skilled Manual"/>
    <s v="Yes"/>
    <n v="2"/>
    <x v="2"/>
    <x v="1"/>
    <n v="60"/>
    <x v="1"/>
    <x v="0"/>
  </r>
  <r>
    <n v="12728"/>
    <x v="1"/>
    <x v="1"/>
    <n v="30000"/>
    <x v="0"/>
    <n v="0"/>
    <x v="1"/>
    <s v="Clerical"/>
    <s v="No"/>
    <n v="1"/>
    <x v="3"/>
    <x v="0"/>
    <n v="27"/>
    <x v="3"/>
    <x v="0"/>
  </r>
  <r>
    <n v="26154"/>
    <x v="0"/>
    <x v="1"/>
    <n v="60000"/>
    <x v="1"/>
    <n v="1"/>
    <x v="1"/>
    <s v="Skilled Manual"/>
    <s v="Yes"/>
    <n v="1"/>
    <x v="2"/>
    <x v="1"/>
    <n v="43"/>
    <x v="0"/>
    <x v="1"/>
  </r>
  <r>
    <n v="29117"/>
    <x v="1"/>
    <x v="1"/>
    <n v="100000"/>
    <x v="4"/>
    <n v="1"/>
    <x v="0"/>
    <s v="Management"/>
    <s v="No"/>
    <n v="3"/>
    <x v="0"/>
    <x v="1"/>
    <n v="48"/>
    <x v="2"/>
    <x v="0"/>
  </r>
  <r>
    <n v="17845"/>
    <x v="1"/>
    <x v="0"/>
    <n v="20000"/>
    <x v="0"/>
    <n v="0"/>
    <x v="3"/>
    <s v="Manual"/>
    <s v="No"/>
    <n v="2"/>
    <x v="3"/>
    <x v="0"/>
    <n v="32"/>
    <x v="0"/>
    <x v="0"/>
  </r>
  <r>
    <n v="25058"/>
    <x v="0"/>
    <x v="1"/>
    <n v="100000"/>
    <x v="4"/>
    <n v="1"/>
    <x v="0"/>
    <s v="Management"/>
    <s v="Yes"/>
    <n v="3"/>
    <x v="1"/>
    <x v="1"/>
    <n v="47"/>
    <x v="2"/>
    <x v="0"/>
  </r>
  <r>
    <n v="23426"/>
    <x v="1"/>
    <x v="1"/>
    <n v="80000"/>
    <x v="1"/>
    <n v="5"/>
    <x v="4"/>
    <s v="Management"/>
    <s v="Yes"/>
    <n v="3"/>
    <x v="0"/>
    <x v="1"/>
    <n v="40"/>
    <x v="0"/>
    <x v="0"/>
  </r>
  <r>
    <n v="14798"/>
    <x v="1"/>
    <x v="0"/>
    <n v="10000"/>
    <x v="2"/>
    <n v="4"/>
    <x v="3"/>
    <s v="Manual"/>
    <s v="Yes"/>
    <n v="2"/>
    <x v="0"/>
    <x v="0"/>
    <n v="41"/>
    <x v="0"/>
    <x v="1"/>
  </r>
  <r>
    <n v="12664"/>
    <x v="0"/>
    <x v="0"/>
    <n v="130000"/>
    <x v="4"/>
    <n v="5"/>
    <x v="1"/>
    <s v="Professional"/>
    <s v="Yes"/>
    <n v="4"/>
    <x v="0"/>
    <x v="0"/>
    <n v="59"/>
    <x v="2"/>
    <x v="0"/>
  </r>
  <r>
    <n v="23979"/>
    <x v="1"/>
    <x v="1"/>
    <n v="10000"/>
    <x v="2"/>
    <n v="2"/>
    <x v="1"/>
    <s v="Manual"/>
    <s v="No"/>
    <n v="0"/>
    <x v="0"/>
    <x v="0"/>
    <n v="50"/>
    <x v="2"/>
    <x v="0"/>
  </r>
  <r>
    <n v="25605"/>
    <x v="1"/>
    <x v="0"/>
    <n v="20000"/>
    <x v="0"/>
    <n v="2"/>
    <x v="1"/>
    <s v="Manual"/>
    <s v="No"/>
    <n v="1"/>
    <x v="0"/>
    <x v="0"/>
    <n v="54"/>
    <x v="2"/>
    <x v="1"/>
  </r>
  <r>
    <n v="20797"/>
    <x v="0"/>
    <x v="0"/>
    <n v="10000"/>
    <x v="2"/>
    <n v="1"/>
    <x v="0"/>
    <s v="Manual"/>
    <s v="Yes"/>
    <n v="0"/>
    <x v="0"/>
    <x v="0"/>
    <n v="48"/>
    <x v="2"/>
    <x v="0"/>
  </r>
  <r>
    <n v="21980"/>
    <x v="1"/>
    <x v="0"/>
    <n v="60000"/>
    <x v="1"/>
    <n v="1"/>
    <x v="0"/>
    <s v="Professional"/>
    <s v="Yes"/>
    <n v="1"/>
    <x v="2"/>
    <x v="1"/>
    <n v="44"/>
    <x v="0"/>
    <x v="1"/>
  </r>
  <r>
    <n v="25460"/>
    <x v="0"/>
    <x v="0"/>
    <n v="20000"/>
    <x v="0"/>
    <n v="2"/>
    <x v="2"/>
    <s v="Manual"/>
    <s v="Yes"/>
    <n v="0"/>
    <x v="0"/>
    <x v="0"/>
    <n v="40"/>
    <x v="0"/>
    <x v="1"/>
  </r>
  <r>
    <n v="29181"/>
    <x v="1"/>
    <x v="0"/>
    <n v="60000"/>
    <x v="1"/>
    <n v="2"/>
    <x v="0"/>
    <s v="Professional"/>
    <s v="No"/>
    <n v="1"/>
    <x v="0"/>
    <x v="1"/>
    <n v="38"/>
    <x v="0"/>
    <x v="1"/>
  </r>
  <r>
    <n v="24279"/>
    <x v="1"/>
    <x v="1"/>
    <n v="40000"/>
    <x v="0"/>
    <n v="2"/>
    <x v="1"/>
    <s v="Skilled Manual"/>
    <s v="No"/>
    <n v="2"/>
    <x v="3"/>
    <x v="1"/>
    <n v="52"/>
    <x v="2"/>
    <x v="0"/>
  </r>
  <r>
    <n v="22402"/>
    <x v="0"/>
    <x v="1"/>
    <n v="10000"/>
    <x v="2"/>
    <n v="0"/>
    <x v="1"/>
    <s v="Manual"/>
    <s v="Yes"/>
    <n v="1"/>
    <x v="1"/>
    <x v="1"/>
    <n v="25"/>
    <x v="3"/>
    <x v="1"/>
  </r>
  <r>
    <n v="15465"/>
    <x v="0"/>
    <x v="0"/>
    <n v="10000"/>
    <x v="2"/>
    <n v="0"/>
    <x v="1"/>
    <s v="Manual"/>
    <s v="No"/>
    <n v="1"/>
    <x v="0"/>
    <x v="1"/>
    <n v="25"/>
    <x v="3"/>
    <x v="0"/>
  </r>
  <r>
    <n v="26757"/>
    <x v="1"/>
    <x v="1"/>
    <n v="90000"/>
    <x v="1"/>
    <n v="1"/>
    <x v="0"/>
    <s v="Professional"/>
    <s v="Yes"/>
    <n v="1"/>
    <x v="1"/>
    <x v="1"/>
    <n v="47"/>
    <x v="2"/>
    <x v="1"/>
  </r>
  <r>
    <n v="14233"/>
    <x v="1"/>
    <x v="1"/>
    <n v="100000"/>
    <x v="4"/>
    <n v="0"/>
    <x v="2"/>
    <s v="Management"/>
    <s v="Yes"/>
    <n v="3"/>
    <x v="4"/>
    <x v="1"/>
    <n v="35"/>
    <x v="0"/>
    <x v="0"/>
  </r>
  <r>
    <n v="14058"/>
    <x v="1"/>
    <x v="1"/>
    <n v="70000"/>
    <x v="1"/>
    <n v="0"/>
    <x v="0"/>
    <s v="Professional"/>
    <s v="No"/>
    <n v="1"/>
    <x v="2"/>
    <x v="1"/>
    <n v="41"/>
    <x v="0"/>
    <x v="1"/>
  </r>
  <r>
    <n v="12273"/>
    <x v="0"/>
    <x v="1"/>
    <n v="30000"/>
    <x v="0"/>
    <n v="1"/>
    <x v="0"/>
    <s v="Clerical"/>
    <s v="Yes"/>
    <n v="0"/>
    <x v="0"/>
    <x v="0"/>
    <n v="47"/>
    <x v="2"/>
    <x v="0"/>
  </r>
  <r>
    <n v="17203"/>
    <x v="0"/>
    <x v="0"/>
    <n v="130000"/>
    <x v="4"/>
    <n v="4"/>
    <x v="1"/>
    <s v="Professional"/>
    <s v="Yes"/>
    <n v="4"/>
    <x v="2"/>
    <x v="0"/>
    <n v="61"/>
    <x v="1"/>
    <x v="1"/>
  </r>
  <r>
    <n v="18144"/>
    <x v="0"/>
    <x v="0"/>
    <n v="80000"/>
    <x v="1"/>
    <n v="5"/>
    <x v="0"/>
    <s v="Management"/>
    <s v="Yes"/>
    <n v="2"/>
    <x v="1"/>
    <x v="0"/>
    <n v="61"/>
    <x v="1"/>
    <x v="0"/>
  </r>
  <r>
    <n v="23963"/>
    <x v="0"/>
    <x v="1"/>
    <n v="10000"/>
    <x v="2"/>
    <n v="0"/>
    <x v="3"/>
    <s v="Manual"/>
    <s v="No"/>
    <n v="2"/>
    <x v="0"/>
    <x v="0"/>
    <n v="33"/>
    <x v="0"/>
    <x v="0"/>
  </r>
  <r>
    <n v="17907"/>
    <x v="0"/>
    <x v="0"/>
    <n v="10000"/>
    <x v="2"/>
    <n v="0"/>
    <x v="1"/>
    <s v="Manual"/>
    <s v="Yes"/>
    <n v="1"/>
    <x v="1"/>
    <x v="1"/>
    <n v="27"/>
    <x v="3"/>
    <x v="0"/>
  </r>
  <r>
    <n v="19442"/>
    <x v="1"/>
    <x v="1"/>
    <n v="50000"/>
    <x v="0"/>
    <n v="0"/>
    <x v="4"/>
    <s v="Skilled Manual"/>
    <s v="Yes"/>
    <n v="0"/>
    <x v="0"/>
    <x v="0"/>
    <n v="37"/>
    <x v="0"/>
    <x v="1"/>
  </r>
  <r>
    <n v="17504"/>
    <x v="1"/>
    <x v="0"/>
    <n v="80000"/>
    <x v="1"/>
    <n v="2"/>
    <x v="1"/>
    <s v="Skilled Manual"/>
    <s v="Yes"/>
    <n v="2"/>
    <x v="2"/>
    <x v="1"/>
    <n v="52"/>
    <x v="2"/>
    <x v="1"/>
  </r>
  <r>
    <n v="12253"/>
    <x v="1"/>
    <x v="0"/>
    <n v="20000"/>
    <x v="0"/>
    <n v="0"/>
    <x v="1"/>
    <s v="Manual"/>
    <s v="Yes"/>
    <n v="0"/>
    <x v="0"/>
    <x v="1"/>
    <n v="29"/>
    <x v="3"/>
    <x v="1"/>
  </r>
  <r>
    <n v="27304"/>
    <x v="1"/>
    <x v="0"/>
    <n v="110000"/>
    <x v="4"/>
    <n v="2"/>
    <x v="1"/>
    <s v="Professional"/>
    <s v="No"/>
    <n v="3"/>
    <x v="2"/>
    <x v="0"/>
    <n v="48"/>
    <x v="2"/>
    <x v="0"/>
  </r>
  <r>
    <n v="14191"/>
    <x v="0"/>
    <x v="1"/>
    <n v="160000"/>
    <x v="3"/>
    <n v="4"/>
    <x v="1"/>
    <s v="Professional"/>
    <s v="No"/>
    <n v="2"/>
    <x v="4"/>
    <x v="0"/>
    <n v="55"/>
    <x v="2"/>
    <x v="1"/>
  </r>
  <r>
    <n v="12212"/>
    <x v="0"/>
    <x v="0"/>
    <n v="10000"/>
    <x v="2"/>
    <n v="0"/>
    <x v="4"/>
    <s v="Manual"/>
    <s v="Yes"/>
    <n v="0"/>
    <x v="0"/>
    <x v="0"/>
    <n v="37"/>
    <x v="0"/>
    <x v="1"/>
  </r>
  <r>
    <n v="25529"/>
    <x v="1"/>
    <x v="1"/>
    <n v="10000"/>
    <x v="2"/>
    <n v="1"/>
    <x v="4"/>
    <s v="Manual"/>
    <s v="Yes"/>
    <n v="0"/>
    <x v="0"/>
    <x v="0"/>
    <n v="44"/>
    <x v="0"/>
    <x v="0"/>
  </r>
  <r>
    <n v="22170"/>
    <x v="0"/>
    <x v="0"/>
    <n v="30000"/>
    <x v="0"/>
    <n v="3"/>
    <x v="1"/>
    <s v="Clerical"/>
    <s v="No"/>
    <n v="2"/>
    <x v="3"/>
    <x v="1"/>
    <n v="55"/>
    <x v="2"/>
    <x v="1"/>
  </r>
  <r>
    <n v="19445"/>
    <x v="0"/>
    <x v="0"/>
    <n v="10000"/>
    <x v="2"/>
    <n v="2"/>
    <x v="2"/>
    <s v="Manual"/>
    <s v="No"/>
    <n v="1"/>
    <x v="0"/>
    <x v="0"/>
    <n v="38"/>
    <x v="0"/>
    <x v="0"/>
  </r>
  <r>
    <n v="15265"/>
    <x v="1"/>
    <x v="1"/>
    <n v="40000"/>
    <x v="0"/>
    <n v="2"/>
    <x v="0"/>
    <s v="Management"/>
    <s v="Yes"/>
    <n v="2"/>
    <x v="2"/>
    <x v="1"/>
    <n v="66"/>
    <x v="1"/>
    <x v="1"/>
  </r>
  <r>
    <n v="28918"/>
    <x v="0"/>
    <x v="0"/>
    <n v="130000"/>
    <x v="4"/>
    <n v="4"/>
    <x v="2"/>
    <s v="Management"/>
    <s v="No"/>
    <n v="4"/>
    <x v="4"/>
    <x v="0"/>
    <n v="58"/>
    <x v="2"/>
    <x v="0"/>
  </r>
  <r>
    <n v="15799"/>
    <x v="0"/>
    <x v="0"/>
    <n v="90000"/>
    <x v="1"/>
    <n v="1"/>
    <x v="0"/>
    <s v="Professional"/>
    <s v="Yes"/>
    <n v="1"/>
    <x v="1"/>
    <x v="1"/>
    <n v="47"/>
    <x v="2"/>
    <x v="1"/>
  </r>
  <r>
    <n v="11047"/>
    <x v="0"/>
    <x v="0"/>
    <n v="30000"/>
    <x v="0"/>
    <n v="3"/>
    <x v="2"/>
    <s v="Skilled Manual"/>
    <s v="No"/>
    <n v="2"/>
    <x v="3"/>
    <x v="1"/>
    <n v="56"/>
    <x v="2"/>
    <x v="1"/>
  </r>
  <r>
    <n v="18151"/>
    <x v="1"/>
    <x v="1"/>
    <n v="80000"/>
    <x v="1"/>
    <n v="5"/>
    <x v="1"/>
    <s v="Professional"/>
    <s v="No"/>
    <n v="2"/>
    <x v="4"/>
    <x v="0"/>
    <n v="59"/>
    <x v="2"/>
    <x v="0"/>
  </r>
  <r>
    <n v="20606"/>
    <x v="0"/>
    <x v="0"/>
    <n v="70000"/>
    <x v="1"/>
    <n v="0"/>
    <x v="0"/>
    <s v="Professional"/>
    <s v="Yes"/>
    <n v="4"/>
    <x v="4"/>
    <x v="1"/>
    <n v="32"/>
    <x v="0"/>
    <x v="1"/>
  </r>
  <r>
    <n v="19482"/>
    <x v="0"/>
    <x v="1"/>
    <n v="30000"/>
    <x v="0"/>
    <n v="1"/>
    <x v="1"/>
    <s v="Clerical"/>
    <s v="Yes"/>
    <n v="1"/>
    <x v="0"/>
    <x v="0"/>
    <n v="44"/>
    <x v="0"/>
    <x v="1"/>
  </r>
  <r>
    <n v="16489"/>
    <x v="0"/>
    <x v="1"/>
    <n v="30000"/>
    <x v="0"/>
    <n v="3"/>
    <x v="2"/>
    <s v="Skilled Manual"/>
    <s v="Yes"/>
    <n v="2"/>
    <x v="2"/>
    <x v="1"/>
    <n v="55"/>
    <x v="2"/>
    <x v="0"/>
  </r>
  <r>
    <n v="26944"/>
    <x v="1"/>
    <x v="1"/>
    <n v="90000"/>
    <x v="1"/>
    <n v="2"/>
    <x v="2"/>
    <s v="Manual"/>
    <s v="Yes"/>
    <n v="0"/>
    <x v="0"/>
    <x v="0"/>
    <n v="36"/>
    <x v="0"/>
    <x v="1"/>
  </r>
  <r>
    <n v="15682"/>
    <x v="1"/>
    <x v="0"/>
    <n v="80000"/>
    <x v="1"/>
    <n v="5"/>
    <x v="0"/>
    <s v="Management"/>
    <s v="Yes"/>
    <n v="2"/>
    <x v="4"/>
    <x v="0"/>
    <n v="62"/>
    <x v="1"/>
    <x v="0"/>
  </r>
  <r>
    <n v="26032"/>
    <x v="0"/>
    <x v="0"/>
    <n v="70000"/>
    <x v="1"/>
    <n v="5"/>
    <x v="0"/>
    <s v="Professional"/>
    <s v="Yes"/>
    <n v="4"/>
    <x v="4"/>
    <x v="1"/>
    <n v="41"/>
    <x v="0"/>
    <x v="0"/>
  </r>
  <r>
    <n v="17843"/>
    <x v="1"/>
    <x v="0"/>
    <n v="10000"/>
    <x v="2"/>
    <n v="0"/>
    <x v="3"/>
    <s v="Manual"/>
    <s v="No"/>
    <n v="2"/>
    <x v="0"/>
    <x v="0"/>
    <n v="32"/>
    <x v="0"/>
    <x v="0"/>
  </r>
  <r>
    <n v="25559"/>
    <x v="1"/>
    <x v="1"/>
    <n v="20000"/>
    <x v="0"/>
    <n v="0"/>
    <x v="0"/>
    <s v="Clerical"/>
    <s v="Yes"/>
    <n v="0"/>
    <x v="0"/>
    <x v="1"/>
    <n v="25"/>
    <x v="3"/>
    <x v="1"/>
  </r>
  <r>
    <n v="16209"/>
    <x v="1"/>
    <x v="0"/>
    <n v="50000"/>
    <x v="0"/>
    <n v="0"/>
    <x v="4"/>
    <s v="Skilled Manual"/>
    <s v="Yes"/>
    <n v="0"/>
    <x v="3"/>
    <x v="0"/>
    <n v="36"/>
    <x v="0"/>
    <x v="0"/>
  </r>
  <r>
    <n v="11147"/>
    <x v="0"/>
    <x v="1"/>
    <n v="60000"/>
    <x v="1"/>
    <n v="2"/>
    <x v="4"/>
    <s v="Management"/>
    <s v="Yes"/>
    <n v="1"/>
    <x v="0"/>
    <x v="1"/>
    <n v="67"/>
    <x v="1"/>
    <x v="1"/>
  </r>
  <r>
    <n v="15214"/>
    <x v="1"/>
    <x v="0"/>
    <n v="100000"/>
    <x v="4"/>
    <n v="0"/>
    <x v="4"/>
    <s v="Management"/>
    <s v="No"/>
    <n v="1"/>
    <x v="3"/>
    <x v="1"/>
    <n v="39"/>
    <x v="0"/>
    <x v="1"/>
  </r>
  <r>
    <n v="11453"/>
    <x v="1"/>
    <x v="1"/>
    <n v="80000"/>
    <x v="1"/>
    <n v="0"/>
    <x v="0"/>
    <s v="Professional"/>
    <s v="No"/>
    <n v="3"/>
    <x v="4"/>
    <x v="1"/>
    <n v="33"/>
    <x v="0"/>
    <x v="1"/>
  </r>
  <r>
    <n v="24584"/>
    <x v="1"/>
    <x v="1"/>
    <n v="60000"/>
    <x v="1"/>
    <n v="0"/>
    <x v="0"/>
    <s v="Professional"/>
    <s v="No"/>
    <n v="3"/>
    <x v="1"/>
    <x v="1"/>
    <n v="31"/>
    <x v="0"/>
    <x v="0"/>
  </r>
  <r>
    <n v="12585"/>
    <x v="0"/>
    <x v="1"/>
    <n v="10000"/>
    <x v="2"/>
    <n v="1"/>
    <x v="2"/>
    <s v="Manual"/>
    <s v="Yes"/>
    <n v="0"/>
    <x v="1"/>
    <x v="1"/>
    <n v="27"/>
    <x v="3"/>
    <x v="1"/>
  </r>
  <r>
    <n v="18626"/>
    <x v="1"/>
    <x v="1"/>
    <n v="40000"/>
    <x v="0"/>
    <n v="2"/>
    <x v="1"/>
    <s v="Clerical"/>
    <s v="Yes"/>
    <n v="0"/>
    <x v="3"/>
    <x v="0"/>
    <n v="33"/>
    <x v="0"/>
    <x v="1"/>
  </r>
  <r>
    <n v="29298"/>
    <x v="1"/>
    <x v="0"/>
    <n v="60000"/>
    <x v="1"/>
    <n v="1"/>
    <x v="1"/>
    <s v="Skilled Manual"/>
    <s v="Yes"/>
    <n v="1"/>
    <x v="2"/>
    <x v="1"/>
    <n v="46"/>
    <x v="2"/>
    <x v="1"/>
  </r>
  <r>
    <n v="24842"/>
    <x v="1"/>
    <x v="0"/>
    <n v="90000"/>
    <x v="1"/>
    <n v="3"/>
    <x v="2"/>
    <s v="Professional"/>
    <s v="No"/>
    <n v="1"/>
    <x v="1"/>
    <x v="0"/>
    <n v="51"/>
    <x v="2"/>
    <x v="0"/>
  </r>
  <r>
    <n v="15657"/>
    <x v="0"/>
    <x v="1"/>
    <n v="30000"/>
    <x v="0"/>
    <n v="3"/>
    <x v="4"/>
    <s v="Clerical"/>
    <s v="Yes"/>
    <n v="0"/>
    <x v="0"/>
    <x v="0"/>
    <n v="46"/>
    <x v="2"/>
    <x v="1"/>
  </r>
  <r>
    <n v="11415"/>
    <x v="1"/>
    <x v="1"/>
    <n v="90000"/>
    <x v="1"/>
    <n v="5"/>
    <x v="1"/>
    <s v="Professional"/>
    <s v="No"/>
    <n v="2"/>
    <x v="4"/>
    <x v="0"/>
    <n v="62"/>
    <x v="1"/>
    <x v="0"/>
  </r>
  <r>
    <n v="28729"/>
    <x v="1"/>
    <x v="0"/>
    <n v="20000"/>
    <x v="0"/>
    <n v="0"/>
    <x v="3"/>
    <s v="Manual"/>
    <s v="Yes"/>
    <n v="2"/>
    <x v="3"/>
    <x v="0"/>
    <n v="26"/>
    <x v="3"/>
    <x v="1"/>
  </r>
  <r>
    <n v="22633"/>
    <x v="1"/>
    <x v="0"/>
    <n v="40000"/>
    <x v="0"/>
    <n v="0"/>
    <x v="4"/>
    <s v="Clerical"/>
    <s v="Yes"/>
    <n v="0"/>
    <x v="0"/>
    <x v="0"/>
    <n v="37"/>
    <x v="0"/>
    <x v="1"/>
  </r>
  <r>
    <n v="25649"/>
    <x v="1"/>
    <x v="0"/>
    <n v="30000"/>
    <x v="0"/>
    <n v="3"/>
    <x v="1"/>
    <s v="Clerical"/>
    <s v="Yes"/>
    <n v="0"/>
    <x v="0"/>
    <x v="0"/>
    <n v="42"/>
    <x v="0"/>
    <x v="1"/>
  </r>
  <r>
    <n v="14669"/>
    <x v="0"/>
    <x v="0"/>
    <n v="80000"/>
    <x v="1"/>
    <n v="4"/>
    <x v="4"/>
    <s v="Management"/>
    <s v="Yes"/>
    <n v="1"/>
    <x v="0"/>
    <x v="1"/>
    <n v="36"/>
    <x v="0"/>
    <x v="0"/>
  </r>
  <r>
    <n v="19299"/>
    <x v="0"/>
    <x v="0"/>
    <n v="50000"/>
    <x v="0"/>
    <n v="0"/>
    <x v="4"/>
    <s v="Skilled Manual"/>
    <s v="Yes"/>
    <n v="0"/>
    <x v="0"/>
    <x v="0"/>
    <n v="36"/>
    <x v="0"/>
    <x v="1"/>
  </r>
  <r>
    <n v="20946"/>
    <x v="1"/>
    <x v="0"/>
    <n v="30000"/>
    <x v="0"/>
    <n v="0"/>
    <x v="1"/>
    <s v="Clerical"/>
    <s v="No"/>
    <n v="1"/>
    <x v="1"/>
    <x v="0"/>
    <n v="30"/>
    <x v="0"/>
    <x v="0"/>
  </r>
  <r>
    <n v="11451"/>
    <x v="1"/>
    <x v="1"/>
    <n v="70000"/>
    <x v="1"/>
    <n v="0"/>
    <x v="0"/>
    <s v="Professional"/>
    <s v="No"/>
    <n v="4"/>
    <x v="4"/>
    <x v="1"/>
    <n v="31"/>
    <x v="0"/>
    <x v="1"/>
  </r>
  <r>
    <n v="25553"/>
    <x v="0"/>
    <x v="1"/>
    <n v="30000"/>
    <x v="0"/>
    <n v="1"/>
    <x v="0"/>
    <s v="Clerical"/>
    <s v="Yes"/>
    <n v="0"/>
    <x v="0"/>
    <x v="0"/>
    <n v="65"/>
    <x v="1"/>
    <x v="1"/>
  </r>
  <r>
    <n v="27951"/>
    <x v="1"/>
    <x v="1"/>
    <n v="80000"/>
    <x v="1"/>
    <n v="4"/>
    <x v="1"/>
    <s v="Professional"/>
    <s v="No"/>
    <n v="2"/>
    <x v="1"/>
    <x v="0"/>
    <n v="54"/>
    <x v="2"/>
    <x v="1"/>
  </r>
  <r>
    <n v="25026"/>
    <x v="0"/>
    <x v="1"/>
    <n v="20000"/>
    <x v="0"/>
    <n v="2"/>
    <x v="3"/>
    <s v="Clerical"/>
    <s v="Yes"/>
    <n v="3"/>
    <x v="2"/>
    <x v="1"/>
    <n v="54"/>
    <x v="2"/>
    <x v="0"/>
  </r>
  <r>
    <n v="13673"/>
    <x v="1"/>
    <x v="0"/>
    <n v="20000"/>
    <x v="0"/>
    <n v="0"/>
    <x v="3"/>
    <s v="Manual"/>
    <s v="No"/>
    <n v="2"/>
    <x v="0"/>
    <x v="0"/>
    <n v="25"/>
    <x v="3"/>
    <x v="0"/>
  </r>
  <r>
    <n v="16043"/>
    <x v="1"/>
    <x v="1"/>
    <n v="10000"/>
    <x v="2"/>
    <n v="1"/>
    <x v="0"/>
    <s v="Manual"/>
    <s v="Yes"/>
    <n v="0"/>
    <x v="0"/>
    <x v="0"/>
    <n v="48"/>
    <x v="2"/>
    <x v="0"/>
  </r>
  <r>
    <n v="22399"/>
    <x v="1"/>
    <x v="1"/>
    <n v="10000"/>
    <x v="2"/>
    <n v="0"/>
    <x v="1"/>
    <s v="Manual"/>
    <s v="Yes"/>
    <n v="1"/>
    <x v="3"/>
    <x v="1"/>
    <n v="26"/>
    <x v="3"/>
    <x v="1"/>
  </r>
  <r>
    <n v="27696"/>
    <x v="0"/>
    <x v="1"/>
    <n v="60000"/>
    <x v="1"/>
    <n v="1"/>
    <x v="0"/>
    <s v="Professional"/>
    <s v="Yes"/>
    <n v="1"/>
    <x v="2"/>
    <x v="1"/>
    <n v="43"/>
    <x v="0"/>
    <x v="1"/>
  </r>
  <r>
    <n v="25313"/>
    <x v="1"/>
    <x v="1"/>
    <n v="10000"/>
    <x v="2"/>
    <n v="0"/>
    <x v="3"/>
    <s v="Manual"/>
    <s v="No"/>
    <n v="2"/>
    <x v="3"/>
    <x v="0"/>
    <n v="35"/>
    <x v="0"/>
    <x v="0"/>
  </r>
  <r>
    <n v="13813"/>
    <x v="0"/>
    <x v="0"/>
    <n v="30000"/>
    <x v="0"/>
    <n v="3"/>
    <x v="1"/>
    <s v="Clerical"/>
    <s v="No"/>
    <n v="0"/>
    <x v="0"/>
    <x v="0"/>
    <n v="42"/>
    <x v="0"/>
    <x v="0"/>
  </r>
  <r>
    <n v="18711"/>
    <x v="1"/>
    <x v="0"/>
    <n v="70000"/>
    <x v="1"/>
    <n v="5"/>
    <x v="0"/>
    <s v="Professional"/>
    <s v="Yes"/>
    <n v="4"/>
    <x v="4"/>
    <x v="1"/>
    <n v="39"/>
    <x v="0"/>
    <x v="0"/>
  </r>
  <r>
    <n v="19650"/>
    <x v="0"/>
    <x v="0"/>
    <n v="30000"/>
    <x v="0"/>
    <n v="2"/>
    <x v="1"/>
    <s v="Clerical"/>
    <s v="No"/>
    <n v="2"/>
    <x v="0"/>
    <x v="1"/>
    <n v="67"/>
    <x v="1"/>
    <x v="0"/>
  </r>
  <r>
    <n v="14135"/>
    <x v="0"/>
    <x v="1"/>
    <n v="20000"/>
    <x v="0"/>
    <n v="1"/>
    <x v="1"/>
    <s v="Manual"/>
    <s v="Yes"/>
    <n v="0"/>
    <x v="3"/>
    <x v="0"/>
    <n v="35"/>
    <x v="0"/>
    <x v="0"/>
  </r>
  <r>
    <n v="12833"/>
    <x v="1"/>
    <x v="0"/>
    <n v="20000"/>
    <x v="0"/>
    <n v="3"/>
    <x v="2"/>
    <s v="Manual"/>
    <s v="Yes"/>
    <n v="1"/>
    <x v="0"/>
    <x v="0"/>
    <n v="42"/>
    <x v="0"/>
    <x v="1"/>
  </r>
  <r>
    <n v="26849"/>
    <x v="0"/>
    <x v="1"/>
    <n v="10000"/>
    <x v="2"/>
    <n v="3"/>
    <x v="3"/>
    <s v="Manual"/>
    <s v="Yes"/>
    <n v="2"/>
    <x v="0"/>
    <x v="0"/>
    <n v="43"/>
    <x v="0"/>
    <x v="0"/>
  </r>
  <r>
    <n v="20962"/>
    <x v="0"/>
    <x v="0"/>
    <n v="20000"/>
    <x v="0"/>
    <n v="1"/>
    <x v="4"/>
    <s v="Clerical"/>
    <s v="Yes"/>
    <n v="0"/>
    <x v="0"/>
    <x v="0"/>
    <n v="45"/>
    <x v="2"/>
    <x v="0"/>
  </r>
  <r>
    <n v="28915"/>
    <x v="1"/>
    <x v="1"/>
    <n v="80000"/>
    <x v="1"/>
    <n v="5"/>
    <x v="2"/>
    <s v="Management"/>
    <s v="Yes"/>
    <n v="3"/>
    <x v="4"/>
    <x v="0"/>
    <n v="57"/>
    <x v="2"/>
    <x v="0"/>
  </r>
  <r>
    <n v="22830"/>
    <x v="0"/>
    <x v="1"/>
    <n v="120000"/>
    <x v="4"/>
    <n v="4"/>
    <x v="1"/>
    <s v="Management"/>
    <s v="Yes"/>
    <n v="3"/>
    <x v="4"/>
    <x v="0"/>
    <n v="56"/>
    <x v="2"/>
    <x v="0"/>
  </r>
  <r>
    <n v="14777"/>
    <x v="0"/>
    <x v="0"/>
    <n v="40000"/>
    <x v="0"/>
    <n v="0"/>
    <x v="0"/>
    <s v="Clerical"/>
    <s v="Yes"/>
    <n v="0"/>
    <x v="0"/>
    <x v="0"/>
    <n v="38"/>
    <x v="0"/>
    <x v="1"/>
  </r>
  <r>
    <n v="12591"/>
    <x v="0"/>
    <x v="0"/>
    <n v="30000"/>
    <x v="0"/>
    <n v="4"/>
    <x v="4"/>
    <s v="Clerical"/>
    <s v="Yes"/>
    <n v="0"/>
    <x v="0"/>
    <x v="0"/>
    <n v="45"/>
    <x v="2"/>
    <x v="0"/>
  </r>
  <r>
    <n v="24174"/>
    <x v="0"/>
    <x v="1"/>
    <n v="20000"/>
    <x v="0"/>
    <n v="0"/>
    <x v="0"/>
    <s v="Clerical"/>
    <s v="Yes"/>
    <n v="0"/>
    <x v="0"/>
    <x v="1"/>
    <n v="27"/>
    <x v="3"/>
    <x v="1"/>
  </r>
  <r>
    <n v="24611"/>
    <x v="1"/>
    <x v="1"/>
    <n v="90000"/>
    <x v="1"/>
    <n v="0"/>
    <x v="0"/>
    <s v="Professional"/>
    <s v="No"/>
    <n v="4"/>
    <x v="4"/>
    <x v="1"/>
    <n v="35"/>
    <x v="0"/>
    <x v="1"/>
  </r>
  <r>
    <n v="11340"/>
    <x v="0"/>
    <x v="0"/>
    <n v="10000"/>
    <x v="2"/>
    <n v="1"/>
    <x v="4"/>
    <s v="Clerical"/>
    <s v="Yes"/>
    <n v="0"/>
    <x v="0"/>
    <x v="0"/>
    <n v="70"/>
    <x v="1"/>
    <x v="1"/>
  </r>
  <r>
    <n v="25693"/>
    <x v="1"/>
    <x v="0"/>
    <n v="30000"/>
    <x v="0"/>
    <n v="5"/>
    <x v="4"/>
    <s v="Clerical"/>
    <s v="Yes"/>
    <n v="0"/>
    <x v="0"/>
    <x v="0"/>
    <n v="44"/>
    <x v="0"/>
    <x v="1"/>
  </r>
  <r>
    <n v="25555"/>
    <x v="0"/>
    <x v="0"/>
    <n v="10000"/>
    <x v="2"/>
    <n v="0"/>
    <x v="1"/>
    <s v="Manual"/>
    <s v="No"/>
    <n v="1"/>
    <x v="0"/>
    <x v="1"/>
    <n v="26"/>
    <x v="3"/>
    <x v="1"/>
  </r>
  <r>
    <n v="22006"/>
    <x v="0"/>
    <x v="1"/>
    <n v="70000"/>
    <x v="1"/>
    <n v="5"/>
    <x v="1"/>
    <s v="Skilled Manual"/>
    <s v="Yes"/>
    <n v="3"/>
    <x v="2"/>
    <x v="1"/>
    <n v="46"/>
    <x v="2"/>
    <x v="0"/>
  </r>
  <r>
    <n v="20060"/>
    <x v="1"/>
    <x v="0"/>
    <n v="30000"/>
    <x v="0"/>
    <n v="0"/>
    <x v="2"/>
    <s v="Manual"/>
    <s v="No"/>
    <n v="1"/>
    <x v="1"/>
    <x v="0"/>
    <n v="34"/>
    <x v="0"/>
    <x v="1"/>
  </r>
  <r>
    <n v="17702"/>
    <x v="0"/>
    <x v="1"/>
    <n v="10000"/>
    <x v="2"/>
    <n v="1"/>
    <x v="4"/>
    <s v="Manual"/>
    <s v="Yes"/>
    <n v="0"/>
    <x v="0"/>
    <x v="0"/>
    <n v="37"/>
    <x v="0"/>
    <x v="0"/>
  </r>
  <r>
    <n v="12503"/>
    <x v="1"/>
    <x v="0"/>
    <n v="30000"/>
    <x v="0"/>
    <n v="3"/>
    <x v="1"/>
    <s v="Clerical"/>
    <s v="Yes"/>
    <n v="2"/>
    <x v="0"/>
    <x v="0"/>
    <n v="27"/>
    <x v="3"/>
    <x v="0"/>
  </r>
  <r>
    <n v="23908"/>
    <x v="1"/>
    <x v="1"/>
    <n v="30000"/>
    <x v="0"/>
    <n v="1"/>
    <x v="0"/>
    <s v="Clerical"/>
    <s v="No"/>
    <n v="1"/>
    <x v="0"/>
    <x v="0"/>
    <n v="39"/>
    <x v="0"/>
    <x v="1"/>
  </r>
  <r>
    <n v="22527"/>
    <x v="1"/>
    <x v="0"/>
    <n v="20000"/>
    <x v="0"/>
    <n v="0"/>
    <x v="2"/>
    <s v="Manual"/>
    <s v="No"/>
    <n v="1"/>
    <x v="1"/>
    <x v="0"/>
    <n v="29"/>
    <x v="3"/>
    <x v="0"/>
  </r>
  <r>
    <n v="19057"/>
    <x v="0"/>
    <x v="0"/>
    <n v="120000"/>
    <x v="4"/>
    <n v="3"/>
    <x v="0"/>
    <s v="Management"/>
    <s v="No"/>
    <n v="2"/>
    <x v="4"/>
    <x v="0"/>
    <n v="52"/>
    <x v="2"/>
    <x v="1"/>
  </r>
  <r>
    <n v="18494"/>
    <x v="0"/>
    <x v="1"/>
    <n v="110000"/>
    <x v="4"/>
    <n v="5"/>
    <x v="0"/>
    <s v="Management"/>
    <s v="Yes"/>
    <n v="4"/>
    <x v="1"/>
    <x v="1"/>
    <n v="48"/>
    <x v="2"/>
    <x v="1"/>
  </r>
  <r>
    <n v="11249"/>
    <x v="0"/>
    <x v="0"/>
    <n v="130000"/>
    <x v="4"/>
    <n v="3"/>
    <x v="1"/>
    <s v="Professional"/>
    <s v="Yes"/>
    <n v="3"/>
    <x v="0"/>
    <x v="0"/>
    <n v="51"/>
    <x v="2"/>
    <x v="1"/>
  </r>
  <r>
    <n v="21568"/>
    <x v="0"/>
    <x v="0"/>
    <n v="100000"/>
    <x v="4"/>
    <n v="0"/>
    <x v="2"/>
    <s v="Management"/>
    <s v="Yes"/>
    <n v="4"/>
    <x v="4"/>
    <x v="1"/>
    <n v="34"/>
    <x v="0"/>
    <x v="1"/>
  </r>
  <r>
    <n v="13981"/>
    <x v="0"/>
    <x v="0"/>
    <n v="10000"/>
    <x v="2"/>
    <n v="5"/>
    <x v="2"/>
    <s v="Skilled Manual"/>
    <s v="No"/>
    <n v="3"/>
    <x v="3"/>
    <x v="1"/>
    <n v="62"/>
    <x v="1"/>
    <x v="0"/>
  </r>
  <r>
    <n v="23432"/>
    <x v="1"/>
    <x v="1"/>
    <n v="70000"/>
    <x v="1"/>
    <n v="0"/>
    <x v="0"/>
    <s v="Professional"/>
    <s v="Yes"/>
    <n v="1"/>
    <x v="2"/>
    <x v="1"/>
    <n v="37"/>
    <x v="0"/>
    <x v="1"/>
  </r>
  <r>
    <n v="22931"/>
    <x v="0"/>
    <x v="1"/>
    <n v="100000"/>
    <x v="4"/>
    <n v="5"/>
    <x v="4"/>
    <s v="Management"/>
    <s v="No"/>
    <n v="1"/>
    <x v="3"/>
    <x v="1"/>
    <n v="78"/>
    <x v="1"/>
    <x v="1"/>
  </r>
  <r>
    <n v="18172"/>
    <x v="0"/>
    <x v="1"/>
    <n v="130000"/>
    <x v="4"/>
    <n v="4"/>
    <x v="2"/>
    <s v="Professional"/>
    <s v="Yes"/>
    <n v="3"/>
    <x v="0"/>
    <x v="0"/>
    <n v="55"/>
    <x v="2"/>
    <x v="0"/>
  </r>
  <r>
    <n v="12666"/>
    <x v="1"/>
    <x v="1"/>
    <n v="60000"/>
    <x v="1"/>
    <n v="0"/>
    <x v="0"/>
    <s v="Professional"/>
    <s v="No"/>
    <n v="4"/>
    <x v="1"/>
    <x v="1"/>
    <n v="31"/>
    <x v="0"/>
    <x v="0"/>
  </r>
  <r>
    <n v="20598"/>
    <x v="0"/>
    <x v="1"/>
    <n v="100000"/>
    <x v="4"/>
    <n v="3"/>
    <x v="3"/>
    <s v="Professional"/>
    <s v="Yes"/>
    <n v="0"/>
    <x v="4"/>
    <x v="0"/>
    <n v="59"/>
    <x v="2"/>
    <x v="1"/>
  </r>
  <r>
    <n v="21375"/>
    <x v="1"/>
    <x v="1"/>
    <n v="20000"/>
    <x v="0"/>
    <n v="2"/>
    <x v="3"/>
    <s v="Clerical"/>
    <s v="Yes"/>
    <n v="2"/>
    <x v="2"/>
    <x v="1"/>
    <n v="57"/>
    <x v="2"/>
    <x v="0"/>
  </r>
  <r>
    <n v="20839"/>
    <x v="1"/>
    <x v="0"/>
    <n v="30000"/>
    <x v="0"/>
    <n v="3"/>
    <x v="4"/>
    <s v="Clerical"/>
    <s v="Yes"/>
    <n v="0"/>
    <x v="0"/>
    <x v="0"/>
    <n v="47"/>
    <x v="2"/>
    <x v="1"/>
  </r>
  <r>
    <n v="21738"/>
    <x v="0"/>
    <x v="1"/>
    <n v="20000"/>
    <x v="0"/>
    <n v="1"/>
    <x v="4"/>
    <s v="Clerical"/>
    <s v="Yes"/>
    <n v="0"/>
    <x v="0"/>
    <x v="0"/>
    <n v="43"/>
    <x v="0"/>
    <x v="0"/>
  </r>
  <r>
    <n v="14164"/>
    <x v="1"/>
    <x v="0"/>
    <n v="50000"/>
    <x v="0"/>
    <n v="0"/>
    <x v="4"/>
    <s v="Skilled Manual"/>
    <s v="Yes"/>
    <n v="0"/>
    <x v="0"/>
    <x v="0"/>
    <n v="36"/>
    <x v="0"/>
    <x v="1"/>
  </r>
  <r>
    <n v="14193"/>
    <x v="1"/>
    <x v="0"/>
    <n v="100000"/>
    <x v="4"/>
    <n v="3"/>
    <x v="1"/>
    <s v="Management"/>
    <s v="Yes"/>
    <n v="4"/>
    <x v="4"/>
    <x v="0"/>
    <n v="56"/>
    <x v="2"/>
    <x v="0"/>
  </r>
  <r>
    <n v="12705"/>
    <x v="0"/>
    <x v="1"/>
    <n v="150000"/>
    <x v="3"/>
    <n v="0"/>
    <x v="0"/>
    <s v="Management"/>
    <s v="Yes"/>
    <n v="4"/>
    <x v="0"/>
    <x v="1"/>
    <n v="37"/>
    <x v="0"/>
    <x v="1"/>
  </r>
  <r>
    <n v="22672"/>
    <x v="1"/>
    <x v="0"/>
    <n v="30000"/>
    <x v="0"/>
    <n v="2"/>
    <x v="1"/>
    <s v="Clerical"/>
    <s v="Yes"/>
    <n v="0"/>
    <x v="0"/>
    <x v="0"/>
    <n v="43"/>
    <x v="0"/>
    <x v="0"/>
  </r>
  <r>
    <n v="26219"/>
    <x v="0"/>
    <x v="0"/>
    <n v="40000"/>
    <x v="0"/>
    <n v="1"/>
    <x v="0"/>
    <s v="Skilled Manual"/>
    <s v="Yes"/>
    <n v="1"/>
    <x v="3"/>
    <x v="0"/>
    <n v="33"/>
    <x v="0"/>
    <x v="1"/>
  </r>
  <r>
    <n v="28468"/>
    <x v="0"/>
    <x v="0"/>
    <n v="10000"/>
    <x v="2"/>
    <n v="2"/>
    <x v="1"/>
    <s v="Manual"/>
    <s v="Yes"/>
    <n v="0"/>
    <x v="3"/>
    <x v="0"/>
    <n v="51"/>
    <x v="2"/>
    <x v="0"/>
  </r>
  <r>
    <n v="23419"/>
    <x v="1"/>
    <x v="0"/>
    <n v="70000"/>
    <x v="1"/>
    <n v="5"/>
    <x v="0"/>
    <s v="Professional"/>
    <s v="Yes"/>
    <n v="3"/>
    <x v="4"/>
    <x v="1"/>
    <n v="39"/>
    <x v="0"/>
    <x v="0"/>
  </r>
  <r>
    <n v="17964"/>
    <x v="0"/>
    <x v="1"/>
    <n v="40000"/>
    <x v="0"/>
    <n v="0"/>
    <x v="4"/>
    <s v="Clerical"/>
    <s v="Yes"/>
    <n v="0"/>
    <x v="0"/>
    <x v="0"/>
    <n v="37"/>
    <x v="0"/>
    <x v="1"/>
  </r>
  <r>
    <n v="20919"/>
    <x v="1"/>
    <x v="0"/>
    <n v="30000"/>
    <x v="0"/>
    <n v="2"/>
    <x v="1"/>
    <s v="Clerical"/>
    <s v="Yes"/>
    <n v="2"/>
    <x v="0"/>
    <x v="0"/>
    <n v="42"/>
    <x v="0"/>
    <x v="0"/>
  </r>
  <r>
    <n v="20927"/>
    <x v="1"/>
    <x v="0"/>
    <n v="20000"/>
    <x v="0"/>
    <n v="5"/>
    <x v="2"/>
    <s v="Manual"/>
    <s v="Yes"/>
    <n v="2"/>
    <x v="0"/>
    <x v="0"/>
    <n v="27"/>
    <x v="3"/>
    <x v="0"/>
  </r>
  <r>
    <n v="13133"/>
    <x v="1"/>
    <x v="1"/>
    <n v="100000"/>
    <x v="4"/>
    <n v="5"/>
    <x v="0"/>
    <s v="Professional"/>
    <s v="Yes"/>
    <n v="1"/>
    <x v="2"/>
    <x v="1"/>
    <n v="47"/>
    <x v="2"/>
    <x v="1"/>
  </r>
  <r>
    <n v="19626"/>
    <x v="0"/>
    <x v="1"/>
    <n v="70000"/>
    <x v="1"/>
    <n v="5"/>
    <x v="1"/>
    <s v="Skilled Manual"/>
    <s v="Yes"/>
    <n v="3"/>
    <x v="2"/>
    <x v="1"/>
    <n v="45"/>
    <x v="2"/>
    <x v="0"/>
  </r>
  <r>
    <n v="21039"/>
    <x v="1"/>
    <x v="0"/>
    <n v="50000"/>
    <x v="0"/>
    <n v="0"/>
    <x v="4"/>
    <s v="Skilled Manual"/>
    <s v="No"/>
    <n v="0"/>
    <x v="0"/>
    <x v="0"/>
    <n v="37"/>
    <x v="0"/>
    <x v="1"/>
  </r>
  <r>
    <n v="12231"/>
    <x v="1"/>
    <x v="0"/>
    <n v="10000"/>
    <x v="2"/>
    <n v="2"/>
    <x v="1"/>
    <s v="Manual"/>
    <s v="Yes"/>
    <n v="0"/>
    <x v="0"/>
    <x v="0"/>
    <n v="51"/>
    <x v="2"/>
    <x v="1"/>
  </r>
  <r>
    <n v="25665"/>
    <x v="1"/>
    <x v="0"/>
    <n v="20000"/>
    <x v="0"/>
    <n v="0"/>
    <x v="2"/>
    <s v="Manual"/>
    <s v="No"/>
    <n v="1"/>
    <x v="3"/>
    <x v="0"/>
    <n v="28"/>
    <x v="3"/>
    <x v="0"/>
  </r>
  <r>
    <n v="24061"/>
    <x v="0"/>
    <x v="1"/>
    <n v="10000"/>
    <x v="2"/>
    <n v="4"/>
    <x v="3"/>
    <s v="Manual"/>
    <s v="Yes"/>
    <n v="1"/>
    <x v="0"/>
    <x v="0"/>
    <n v="40"/>
    <x v="0"/>
    <x v="1"/>
  </r>
  <r>
    <n v="26879"/>
    <x v="1"/>
    <x v="0"/>
    <n v="20000"/>
    <x v="0"/>
    <n v="0"/>
    <x v="2"/>
    <s v="Manual"/>
    <s v="No"/>
    <n v="1"/>
    <x v="1"/>
    <x v="0"/>
    <n v="30"/>
    <x v="0"/>
    <x v="0"/>
  </r>
  <r>
    <n v="12284"/>
    <x v="0"/>
    <x v="0"/>
    <n v="30000"/>
    <x v="0"/>
    <n v="0"/>
    <x v="0"/>
    <s v="Clerical"/>
    <s v="No"/>
    <n v="0"/>
    <x v="0"/>
    <x v="0"/>
    <n v="36"/>
    <x v="0"/>
    <x v="1"/>
  </r>
  <r>
    <n v="26654"/>
    <x v="0"/>
    <x v="0"/>
    <n v="90000"/>
    <x v="1"/>
    <n v="1"/>
    <x v="4"/>
    <s v="Management"/>
    <s v="Yes"/>
    <n v="0"/>
    <x v="0"/>
    <x v="1"/>
    <n v="37"/>
    <x v="0"/>
    <x v="1"/>
  </r>
  <r>
    <n v="14545"/>
    <x v="0"/>
    <x v="0"/>
    <n v="10000"/>
    <x v="2"/>
    <n v="2"/>
    <x v="1"/>
    <s v="Manual"/>
    <s v="Yes"/>
    <n v="0"/>
    <x v="3"/>
    <x v="0"/>
    <n v="49"/>
    <x v="2"/>
    <x v="0"/>
  </r>
  <r>
    <n v="24201"/>
    <x v="0"/>
    <x v="0"/>
    <n v="10000"/>
    <x v="2"/>
    <n v="2"/>
    <x v="2"/>
    <s v="Manual"/>
    <s v="Yes"/>
    <n v="0"/>
    <x v="0"/>
    <x v="0"/>
    <n v="37"/>
    <x v="0"/>
    <x v="1"/>
  </r>
  <r>
    <n v="20625"/>
    <x v="0"/>
    <x v="1"/>
    <n v="100000"/>
    <x v="4"/>
    <n v="0"/>
    <x v="2"/>
    <s v="Management"/>
    <s v="Yes"/>
    <n v="3"/>
    <x v="4"/>
    <x v="1"/>
    <n v="35"/>
    <x v="0"/>
    <x v="1"/>
  </r>
  <r>
    <n v="16390"/>
    <x v="1"/>
    <x v="1"/>
    <n v="30000"/>
    <x v="0"/>
    <n v="1"/>
    <x v="0"/>
    <s v="Clerical"/>
    <s v="No"/>
    <n v="0"/>
    <x v="0"/>
    <x v="0"/>
    <n v="38"/>
    <x v="0"/>
    <x v="1"/>
  </r>
  <r>
    <n v="14804"/>
    <x v="1"/>
    <x v="0"/>
    <n v="10000"/>
    <x v="2"/>
    <n v="3"/>
    <x v="3"/>
    <s v="Manual"/>
    <s v="Yes"/>
    <n v="2"/>
    <x v="0"/>
    <x v="0"/>
    <n v="43"/>
    <x v="0"/>
    <x v="0"/>
  </r>
  <r>
    <n v="12629"/>
    <x v="1"/>
    <x v="1"/>
    <n v="20000"/>
    <x v="0"/>
    <n v="1"/>
    <x v="1"/>
    <s v="Manual"/>
    <s v="No"/>
    <n v="0"/>
    <x v="0"/>
    <x v="0"/>
    <n v="37"/>
    <x v="0"/>
    <x v="0"/>
  </r>
  <r>
    <n v="14696"/>
    <x v="1"/>
    <x v="1"/>
    <n v="10000"/>
    <x v="2"/>
    <n v="0"/>
    <x v="3"/>
    <s v="Manual"/>
    <s v="No"/>
    <n v="2"/>
    <x v="0"/>
    <x v="0"/>
    <n v="34"/>
    <x v="0"/>
    <x v="0"/>
  </r>
  <r>
    <n v="22005"/>
    <x v="0"/>
    <x v="0"/>
    <n v="70000"/>
    <x v="1"/>
    <n v="5"/>
    <x v="1"/>
    <s v="Skilled Manual"/>
    <s v="No"/>
    <n v="3"/>
    <x v="2"/>
    <x v="1"/>
    <n v="46"/>
    <x v="2"/>
    <x v="0"/>
  </r>
  <r>
    <n v="14544"/>
    <x v="1"/>
    <x v="1"/>
    <n v="10000"/>
    <x v="2"/>
    <n v="1"/>
    <x v="1"/>
    <s v="Manual"/>
    <s v="Yes"/>
    <n v="0"/>
    <x v="0"/>
    <x v="0"/>
    <n v="49"/>
    <x v="2"/>
    <x v="0"/>
  </r>
  <r>
    <n v="14312"/>
    <x v="0"/>
    <x v="0"/>
    <n v="60000"/>
    <x v="1"/>
    <n v="1"/>
    <x v="1"/>
    <s v="Skilled Manual"/>
    <s v="Yes"/>
    <n v="1"/>
    <x v="2"/>
    <x v="1"/>
    <n v="45"/>
    <x v="2"/>
    <x v="0"/>
  </r>
  <r>
    <n v="29120"/>
    <x v="1"/>
    <x v="0"/>
    <n v="100000"/>
    <x v="4"/>
    <n v="1"/>
    <x v="0"/>
    <s v="Management"/>
    <s v="Yes"/>
    <n v="4"/>
    <x v="1"/>
    <x v="1"/>
    <n v="48"/>
    <x v="2"/>
    <x v="0"/>
  </r>
  <r>
    <n v="24187"/>
    <x v="1"/>
    <x v="0"/>
    <n v="30000"/>
    <x v="0"/>
    <n v="3"/>
    <x v="4"/>
    <s v="Clerical"/>
    <s v="No"/>
    <n v="0"/>
    <x v="0"/>
    <x v="0"/>
    <n v="46"/>
    <x v="2"/>
    <x v="1"/>
  </r>
  <r>
    <n v="15758"/>
    <x v="0"/>
    <x v="1"/>
    <n v="130000"/>
    <x v="4"/>
    <n v="0"/>
    <x v="4"/>
    <s v="Management"/>
    <s v="Yes"/>
    <n v="0"/>
    <x v="2"/>
    <x v="1"/>
    <n v="48"/>
    <x v="2"/>
    <x v="0"/>
  </r>
  <r>
    <n v="29094"/>
    <x v="0"/>
    <x v="1"/>
    <n v="30000"/>
    <x v="0"/>
    <n v="3"/>
    <x v="2"/>
    <s v="Skilled Manual"/>
    <s v="Yes"/>
    <n v="2"/>
    <x v="2"/>
    <x v="1"/>
    <n v="54"/>
    <x v="2"/>
    <x v="1"/>
  </r>
  <r>
    <n v="28319"/>
    <x v="1"/>
    <x v="0"/>
    <n v="60000"/>
    <x v="1"/>
    <n v="1"/>
    <x v="1"/>
    <s v="Skilled Manual"/>
    <s v="No"/>
    <n v="1"/>
    <x v="0"/>
    <x v="1"/>
    <n v="46"/>
    <x v="2"/>
    <x v="1"/>
  </r>
  <r>
    <n v="16406"/>
    <x v="0"/>
    <x v="1"/>
    <n v="40000"/>
    <x v="0"/>
    <n v="0"/>
    <x v="0"/>
    <s v="Clerical"/>
    <s v="No"/>
    <n v="0"/>
    <x v="0"/>
    <x v="0"/>
    <n v="38"/>
    <x v="0"/>
    <x v="1"/>
  </r>
  <r>
    <n v="20923"/>
    <x v="0"/>
    <x v="0"/>
    <n v="40000"/>
    <x v="0"/>
    <n v="1"/>
    <x v="0"/>
    <s v="Skilled Manual"/>
    <s v="Yes"/>
    <n v="0"/>
    <x v="0"/>
    <x v="0"/>
    <n v="42"/>
    <x v="0"/>
    <x v="1"/>
  </r>
  <r>
    <n v="11378"/>
    <x v="1"/>
    <x v="0"/>
    <n v="10000"/>
    <x v="2"/>
    <n v="1"/>
    <x v="2"/>
    <s v="Manual"/>
    <s v="No"/>
    <n v="1"/>
    <x v="1"/>
    <x v="0"/>
    <n v="46"/>
    <x v="2"/>
    <x v="1"/>
  </r>
  <r>
    <n v="20851"/>
    <x v="1"/>
    <x v="1"/>
    <n v="20000"/>
    <x v="0"/>
    <n v="0"/>
    <x v="1"/>
    <s v="Manual"/>
    <s v="No"/>
    <n v="1"/>
    <x v="1"/>
    <x v="0"/>
    <n v="36"/>
    <x v="0"/>
    <x v="1"/>
  </r>
  <r>
    <n v="21557"/>
    <x v="1"/>
    <x v="0"/>
    <n v="110000"/>
    <x v="4"/>
    <n v="0"/>
    <x v="1"/>
    <s v="Management"/>
    <s v="Yes"/>
    <n v="3"/>
    <x v="4"/>
    <x v="1"/>
    <n v="32"/>
    <x v="0"/>
    <x v="1"/>
  </r>
  <r>
    <n v="26663"/>
    <x v="1"/>
    <x v="0"/>
    <n v="60000"/>
    <x v="1"/>
    <n v="2"/>
    <x v="0"/>
    <s v="Professional"/>
    <s v="No"/>
    <n v="1"/>
    <x v="0"/>
    <x v="1"/>
    <n v="39"/>
    <x v="0"/>
    <x v="1"/>
  </r>
  <r>
    <n v="11896"/>
    <x v="0"/>
    <x v="1"/>
    <n v="100000"/>
    <x v="4"/>
    <n v="1"/>
    <x v="4"/>
    <s v="Management"/>
    <s v="Yes"/>
    <n v="0"/>
    <x v="1"/>
    <x v="1"/>
    <n v="36"/>
    <x v="0"/>
    <x v="1"/>
  </r>
  <r>
    <n v="14189"/>
    <x v="0"/>
    <x v="0"/>
    <n v="90000"/>
    <x v="1"/>
    <n v="4"/>
    <x v="2"/>
    <s v="Professional"/>
    <s v="No"/>
    <n v="2"/>
    <x v="1"/>
    <x v="0"/>
    <n v="54"/>
    <x v="2"/>
    <x v="1"/>
  </r>
  <r>
    <n v="13136"/>
    <x v="0"/>
    <x v="0"/>
    <n v="30000"/>
    <x v="0"/>
    <n v="2"/>
    <x v="1"/>
    <s v="Clerical"/>
    <s v="No"/>
    <n v="2"/>
    <x v="2"/>
    <x v="1"/>
    <n v="69"/>
    <x v="1"/>
    <x v="0"/>
  </r>
  <r>
    <n v="25906"/>
    <x v="1"/>
    <x v="0"/>
    <n v="10000"/>
    <x v="2"/>
    <n v="5"/>
    <x v="2"/>
    <s v="Skilled Manual"/>
    <s v="No"/>
    <n v="2"/>
    <x v="3"/>
    <x v="1"/>
    <n v="62"/>
    <x v="1"/>
    <x v="0"/>
  </r>
  <r>
    <n v="17926"/>
    <x v="1"/>
    <x v="0"/>
    <n v="40000"/>
    <x v="0"/>
    <n v="0"/>
    <x v="0"/>
    <s v="Clerical"/>
    <s v="No"/>
    <n v="0"/>
    <x v="0"/>
    <x v="1"/>
    <n v="28"/>
    <x v="3"/>
    <x v="1"/>
  </r>
  <r>
    <n v="26928"/>
    <x v="1"/>
    <x v="1"/>
    <n v="30000"/>
    <x v="0"/>
    <n v="1"/>
    <x v="0"/>
    <s v="Clerical"/>
    <s v="Yes"/>
    <n v="0"/>
    <x v="0"/>
    <x v="0"/>
    <n v="62"/>
    <x v="1"/>
    <x v="1"/>
  </r>
  <r>
    <n v="20897"/>
    <x v="0"/>
    <x v="0"/>
    <n v="30000"/>
    <x v="0"/>
    <n v="1"/>
    <x v="0"/>
    <s v="Skilled Manual"/>
    <s v="Yes"/>
    <n v="2"/>
    <x v="0"/>
    <x v="0"/>
    <n v="40"/>
    <x v="0"/>
    <x v="0"/>
  </r>
  <r>
    <n v="28207"/>
    <x v="0"/>
    <x v="1"/>
    <n v="80000"/>
    <x v="1"/>
    <n v="4"/>
    <x v="4"/>
    <s v="Management"/>
    <s v="Yes"/>
    <n v="1"/>
    <x v="0"/>
    <x v="1"/>
    <n v="36"/>
    <x v="0"/>
    <x v="1"/>
  </r>
  <r>
    <n v="25923"/>
    <x v="1"/>
    <x v="1"/>
    <n v="10000"/>
    <x v="2"/>
    <n v="2"/>
    <x v="3"/>
    <s v="Clerical"/>
    <s v="Yes"/>
    <n v="2"/>
    <x v="2"/>
    <x v="1"/>
    <n v="58"/>
    <x v="2"/>
    <x v="0"/>
  </r>
  <r>
    <n v="11000"/>
    <x v="0"/>
    <x v="1"/>
    <n v="90000"/>
    <x v="1"/>
    <n v="2"/>
    <x v="0"/>
    <s v="Professional"/>
    <s v="Yes"/>
    <n v="0"/>
    <x v="3"/>
    <x v="1"/>
    <n v="40"/>
    <x v="0"/>
    <x v="1"/>
  </r>
  <r>
    <n v="20974"/>
    <x v="0"/>
    <x v="1"/>
    <n v="10000"/>
    <x v="2"/>
    <n v="2"/>
    <x v="0"/>
    <s v="Clerical"/>
    <s v="Yes"/>
    <n v="1"/>
    <x v="0"/>
    <x v="0"/>
    <n v="66"/>
    <x v="1"/>
    <x v="0"/>
  </r>
  <r>
    <n v="28758"/>
    <x v="0"/>
    <x v="1"/>
    <n v="40000"/>
    <x v="0"/>
    <n v="2"/>
    <x v="1"/>
    <s v="Clerical"/>
    <s v="Yes"/>
    <n v="1"/>
    <x v="3"/>
    <x v="0"/>
    <n v="35"/>
    <x v="0"/>
    <x v="1"/>
  </r>
  <r>
    <n v="11381"/>
    <x v="0"/>
    <x v="0"/>
    <n v="20000"/>
    <x v="0"/>
    <n v="2"/>
    <x v="1"/>
    <s v="Manual"/>
    <s v="Yes"/>
    <n v="1"/>
    <x v="1"/>
    <x v="0"/>
    <n v="47"/>
    <x v="2"/>
    <x v="1"/>
  </r>
  <r>
    <n v="17522"/>
    <x v="0"/>
    <x v="1"/>
    <n v="120000"/>
    <x v="4"/>
    <n v="4"/>
    <x v="0"/>
    <s v="Management"/>
    <s v="Yes"/>
    <n v="1"/>
    <x v="1"/>
    <x v="1"/>
    <n v="47"/>
    <x v="2"/>
    <x v="0"/>
  </r>
  <r>
    <n v="21207"/>
    <x v="0"/>
    <x v="1"/>
    <n v="60000"/>
    <x v="1"/>
    <n v="1"/>
    <x v="1"/>
    <s v="Skilled Manual"/>
    <s v="Yes"/>
    <n v="1"/>
    <x v="2"/>
    <x v="1"/>
    <n v="46"/>
    <x v="2"/>
    <x v="0"/>
  </r>
  <r>
    <n v="28102"/>
    <x v="0"/>
    <x v="1"/>
    <n v="20000"/>
    <x v="0"/>
    <n v="4"/>
    <x v="2"/>
    <s v="Skilled Manual"/>
    <s v="Yes"/>
    <n v="2"/>
    <x v="2"/>
    <x v="1"/>
    <n v="58"/>
    <x v="2"/>
    <x v="1"/>
  </r>
  <r>
    <n v="23105"/>
    <x v="1"/>
    <x v="1"/>
    <n v="40000"/>
    <x v="0"/>
    <n v="3"/>
    <x v="3"/>
    <s v="Clerical"/>
    <s v="No"/>
    <n v="2"/>
    <x v="2"/>
    <x v="1"/>
    <n v="52"/>
    <x v="2"/>
    <x v="1"/>
  </r>
  <r>
    <n v="18740"/>
    <x v="0"/>
    <x v="1"/>
    <n v="80000"/>
    <x v="1"/>
    <n v="5"/>
    <x v="0"/>
    <s v="Professional"/>
    <s v="No"/>
    <n v="1"/>
    <x v="0"/>
    <x v="1"/>
    <n v="47"/>
    <x v="2"/>
    <x v="1"/>
  </r>
  <r>
    <n v="21213"/>
    <x v="1"/>
    <x v="1"/>
    <n v="70000"/>
    <x v="1"/>
    <n v="0"/>
    <x v="0"/>
    <s v="Professional"/>
    <s v="No"/>
    <n v="1"/>
    <x v="2"/>
    <x v="1"/>
    <n v="41"/>
    <x v="0"/>
    <x v="0"/>
  </r>
  <r>
    <n v="17352"/>
    <x v="0"/>
    <x v="1"/>
    <n v="50000"/>
    <x v="0"/>
    <n v="2"/>
    <x v="4"/>
    <s v="Management"/>
    <s v="Yes"/>
    <n v="1"/>
    <x v="2"/>
    <x v="1"/>
    <n v="64"/>
    <x v="1"/>
    <x v="1"/>
  </r>
  <r>
    <n v="14154"/>
    <x v="0"/>
    <x v="1"/>
    <n v="30000"/>
    <x v="0"/>
    <n v="0"/>
    <x v="0"/>
    <s v="Clerical"/>
    <s v="Yes"/>
    <n v="0"/>
    <x v="0"/>
    <x v="0"/>
    <n v="35"/>
    <x v="0"/>
    <x v="1"/>
  </r>
  <r>
    <n v="19066"/>
    <x v="0"/>
    <x v="1"/>
    <n v="130000"/>
    <x v="4"/>
    <n v="4"/>
    <x v="1"/>
    <s v="Professional"/>
    <s v="No"/>
    <n v="3"/>
    <x v="4"/>
    <x v="0"/>
    <n v="54"/>
    <x v="2"/>
    <x v="0"/>
  </r>
  <r>
    <n v="11386"/>
    <x v="0"/>
    <x v="0"/>
    <n v="30000"/>
    <x v="0"/>
    <n v="3"/>
    <x v="0"/>
    <s v="Clerical"/>
    <s v="Yes"/>
    <n v="0"/>
    <x v="0"/>
    <x v="0"/>
    <n v="45"/>
    <x v="2"/>
    <x v="0"/>
  </r>
  <r>
    <n v="20228"/>
    <x v="0"/>
    <x v="1"/>
    <n v="100000"/>
    <x v="4"/>
    <n v="0"/>
    <x v="4"/>
    <s v="Management"/>
    <s v="Yes"/>
    <n v="0"/>
    <x v="1"/>
    <x v="1"/>
    <n v="40"/>
    <x v="0"/>
    <x v="1"/>
  </r>
  <r>
    <n v="16675"/>
    <x v="1"/>
    <x v="0"/>
    <n v="160000"/>
    <x v="3"/>
    <n v="0"/>
    <x v="4"/>
    <s v="Management"/>
    <s v="No"/>
    <n v="3"/>
    <x v="0"/>
    <x v="1"/>
    <n v="47"/>
    <x v="2"/>
    <x v="1"/>
  </r>
  <r>
    <n v="16410"/>
    <x v="1"/>
    <x v="0"/>
    <n v="10000"/>
    <x v="2"/>
    <n v="4"/>
    <x v="3"/>
    <s v="Manual"/>
    <s v="Yes"/>
    <n v="2"/>
    <x v="0"/>
    <x v="0"/>
    <n v="41"/>
    <x v="0"/>
    <x v="1"/>
  </r>
  <r>
    <n v="27760"/>
    <x v="1"/>
    <x v="0"/>
    <n v="40000"/>
    <x v="0"/>
    <n v="0"/>
    <x v="4"/>
    <s v="Clerical"/>
    <s v="No"/>
    <n v="0"/>
    <x v="0"/>
    <x v="0"/>
    <n v="37"/>
    <x v="0"/>
    <x v="1"/>
  </r>
  <r>
    <n v="22930"/>
    <x v="0"/>
    <x v="1"/>
    <n v="90000"/>
    <x v="1"/>
    <n v="4"/>
    <x v="0"/>
    <s v="Professional"/>
    <s v="Yes"/>
    <n v="0"/>
    <x v="3"/>
    <x v="1"/>
    <n v="38"/>
    <x v="0"/>
    <x v="1"/>
  </r>
  <r>
    <n v="23780"/>
    <x v="1"/>
    <x v="1"/>
    <n v="40000"/>
    <x v="0"/>
    <n v="2"/>
    <x v="1"/>
    <s v="Clerical"/>
    <s v="No"/>
    <n v="2"/>
    <x v="0"/>
    <x v="0"/>
    <n v="36"/>
    <x v="0"/>
    <x v="1"/>
  </r>
  <r>
    <n v="20994"/>
    <x v="0"/>
    <x v="0"/>
    <n v="20000"/>
    <x v="0"/>
    <n v="0"/>
    <x v="0"/>
    <s v="Clerical"/>
    <s v="No"/>
    <n v="0"/>
    <x v="0"/>
    <x v="1"/>
    <n v="26"/>
    <x v="3"/>
    <x v="1"/>
  </r>
  <r>
    <n v="28379"/>
    <x v="0"/>
    <x v="1"/>
    <n v="30000"/>
    <x v="0"/>
    <n v="1"/>
    <x v="0"/>
    <s v="Skilled Manual"/>
    <s v="Yes"/>
    <n v="2"/>
    <x v="0"/>
    <x v="0"/>
    <n v="40"/>
    <x v="0"/>
    <x v="0"/>
  </r>
  <r>
    <n v="14865"/>
    <x v="1"/>
    <x v="1"/>
    <n v="40000"/>
    <x v="0"/>
    <n v="2"/>
    <x v="1"/>
    <s v="Clerical"/>
    <s v="Yes"/>
    <n v="2"/>
    <x v="3"/>
    <x v="0"/>
    <n v="36"/>
    <x v="0"/>
    <x v="0"/>
  </r>
  <r>
    <n v="12663"/>
    <x v="0"/>
    <x v="0"/>
    <n v="90000"/>
    <x v="1"/>
    <n v="5"/>
    <x v="3"/>
    <s v="Skilled Manual"/>
    <s v="Yes"/>
    <n v="2"/>
    <x v="4"/>
    <x v="0"/>
    <n v="59"/>
    <x v="2"/>
    <x v="0"/>
  </r>
  <r>
    <n v="24898"/>
    <x v="1"/>
    <x v="0"/>
    <n v="80000"/>
    <x v="1"/>
    <n v="0"/>
    <x v="0"/>
    <s v="Professional"/>
    <s v="Yes"/>
    <n v="3"/>
    <x v="4"/>
    <x v="1"/>
    <n v="32"/>
    <x v="0"/>
    <x v="0"/>
  </r>
  <r>
    <n v="19508"/>
    <x v="0"/>
    <x v="1"/>
    <n v="10000"/>
    <x v="2"/>
    <n v="0"/>
    <x v="3"/>
    <s v="Manual"/>
    <s v="No"/>
    <n v="2"/>
    <x v="0"/>
    <x v="0"/>
    <n v="30"/>
    <x v="0"/>
    <x v="0"/>
  </r>
  <r>
    <n v="11489"/>
    <x v="1"/>
    <x v="0"/>
    <n v="20000"/>
    <x v="0"/>
    <n v="0"/>
    <x v="3"/>
    <s v="Manual"/>
    <s v="No"/>
    <n v="2"/>
    <x v="3"/>
    <x v="0"/>
    <n v="35"/>
    <x v="0"/>
    <x v="1"/>
  </r>
  <r>
    <n v="18160"/>
    <x v="0"/>
    <x v="1"/>
    <n v="130000"/>
    <x v="4"/>
    <n v="3"/>
    <x v="2"/>
    <s v="Professional"/>
    <s v="Yes"/>
    <n v="4"/>
    <x v="2"/>
    <x v="0"/>
    <n v="51"/>
    <x v="2"/>
    <x v="1"/>
  </r>
  <r>
    <n v="25241"/>
    <x v="0"/>
    <x v="1"/>
    <n v="90000"/>
    <x v="1"/>
    <n v="2"/>
    <x v="0"/>
    <s v="Professional"/>
    <s v="Yes"/>
    <n v="1"/>
    <x v="2"/>
    <x v="1"/>
    <n v="47"/>
    <x v="2"/>
    <x v="0"/>
  </r>
  <r>
    <n v="24369"/>
    <x v="0"/>
    <x v="1"/>
    <n v="80000"/>
    <x v="1"/>
    <n v="5"/>
    <x v="4"/>
    <s v="Management"/>
    <s v="No"/>
    <n v="2"/>
    <x v="0"/>
    <x v="1"/>
    <n v="39"/>
    <x v="0"/>
    <x v="0"/>
  </r>
  <r>
    <n v="27165"/>
    <x v="1"/>
    <x v="1"/>
    <n v="20000"/>
    <x v="0"/>
    <n v="0"/>
    <x v="3"/>
    <s v="Manual"/>
    <s v="No"/>
    <n v="2"/>
    <x v="0"/>
    <x v="0"/>
    <n v="34"/>
    <x v="0"/>
    <x v="0"/>
  </r>
  <r>
    <n v="29424"/>
    <x v="0"/>
    <x v="1"/>
    <n v="10000"/>
    <x v="2"/>
    <n v="0"/>
    <x v="3"/>
    <s v="Manual"/>
    <s v="Yes"/>
    <n v="2"/>
    <x v="0"/>
    <x v="0"/>
    <n v="32"/>
    <x v="0"/>
    <x v="0"/>
  </r>
  <r>
    <n v="15926"/>
    <x v="1"/>
    <x v="0"/>
    <n v="120000"/>
    <x v="4"/>
    <n v="3"/>
    <x v="2"/>
    <s v="Professional"/>
    <s v="Yes"/>
    <n v="4"/>
    <x v="2"/>
    <x v="0"/>
    <n v="50"/>
    <x v="2"/>
    <x v="1"/>
  </r>
  <r>
    <n v="14554"/>
    <x v="0"/>
    <x v="1"/>
    <n v="20000"/>
    <x v="0"/>
    <n v="1"/>
    <x v="0"/>
    <s v="Clerical"/>
    <s v="Yes"/>
    <n v="0"/>
    <x v="0"/>
    <x v="0"/>
    <n v="66"/>
    <x v="1"/>
    <x v="0"/>
  </r>
  <r>
    <n v="16468"/>
    <x v="1"/>
    <x v="1"/>
    <n v="30000"/>
    <x v="0"/>
    <n v="0"/>
    <x v="1"/>
    <s v="Clerical"/>
    <s v="Yes"/>
    <n v="1"/>
    <x v="1"/>
    <x v="0"/>
    <n v="30"/>
    <x v="0"/>
    <x v="0"/>
  </r>
  <r>
    <n v="19174"/>
    <x v="1"/>
    <x v="0"/>
    <n v="30000"/>
    <x v="0"/>
    <n v="0"/>
    <x v="2"/>
    <s v="Manual"/>
    <s v="No"/>
    <n v="1"/>
    <x v="1"/>
    <x v="0"/>
    <n v="32"/>
    <x v="0"/>
    <x v="1"/>
  </r>
  <r>
    <n v="19183"/>
    <x v="1"/>
    <x v="1"/>
    <n v="10000"/>
    <x v="2"/>
    <n v="0"/>
    <x v="3"/>
    <s v="Manual"/>
    <s v="Yes"/>
    <n v="2"/>
    <x v="3"/>
    <x v="0"/>
    <n v="35"/>
    <x v="0"/>
    <x v="0"/>
  </r>
  <r>
    <n v="13683"/>
    <x v="1"/>
    <x v="0"/>
    <n v="30000"/>
    <x v="0"/>
    <n v="0"/>
    <x v="2"/>
    <s v="Manual"/>
    <s v="No"/>
    <n v="1"/>
    <x v="1"/>
    <x v="0"/>
    <n v="32"/>
    <x v="0"/>
    <x v="0"/>
  </r>
  <r>
    <n v="17848"/>
    <x v="1"/>
    <x v="1"/>
    <n v="30000"/>
    <x v="0"/>
    <n v="0"/>
    <x v="1"/>
    <s v="Clerical"/>
    <s v="No"/>
    <n v="1"/>
    <x v="1"/>
    <x v="0"/>
    <n v="31"/>
    <x v="0"/>
    <x v="1"/>
  </r>
  <r>
    <n v="17894"/>
    <x v="0"/>
    <x v="0"/>
    <n v="20000"/>
    <x v="0"/>
    <n v="1"/>
    <x v="0"/>
    <s v="Clerical"/>
    <s v="Yes"/>
    <n v="0"/>
    <x v="0"/>
    <x v="0"/>
    <n v="50"/>
    <x v="2"/>
    <x v="1"/>
  </r>
  <r>
    <n v="25651"/>
    <x v="0"/>
    <x v="1"/>
    <n v="40000"/>
    <x v="0"/>
    <n v="1"/>
    <x v="0"/>
    <s v="Skilled Manual"/>
    <s v="No"/>
    <n v="0"/>
    <x v="0"/>
    <x v="0"/>
    <n v="43"/>
    <x v="0"/>
    <x v="1"/>
  </r>
  <r>
    <n v="22936"/>
    <x v="1"/>
    <x v="0"/>
    <n v="60000"/>
    <x v="1"/>
    <n v="1"/>
    <x v="1"/>
    <s v="Skilled Manual"/>
    <s v="No"/>
    <n v="1"/>
    <x v="0"/>
    <x v="1"/>
    <n v="45"/>
    <x v="2"/>
    <x v="1"/>
  </r>
  <r>
    <n v="23915"/>
    <x v="0"/>
    <x v="1"/>
    <n v="20000"/>
    <x v="0"/>
    <n v="2"/>
    <x v="2"/>
    <s v="Manual"/>
    <s v="Yes"/>
    <n v="2"/>
    <x v="0"/>
    <x v="0"/>
    <n v="42"/>
    <x v="0"/>
    <x v="0"/>
  </r>
  <r>
    <n v="24121"/>
    <x v="1"/>
    <x v="0"/>
    <n v="30000"/>
    <x v="0"/>
    <n v="0"/>
    <x v="1"/>
    <s v="Clerical"/>
    <s v="No"/>
    <n v="1"/>
    <x v="0"/>
    <x v="0"/>
    <n v="29"/>
    <x v="3"/>
    <x v="1"/>
  </r>
  <r>
    <n v="27878"/>
    <x v="1"/>
    <x v="1"/>
    <n v="20000"/>
    <x v="0"/>
    <n v="0"/>
    <x v="1"/>
    <s v="Manual"/>
    <s v="No"/>
    <n v="0"/>
    <x v="0"/>
    <x v="1"/>
    <n v="28"/>
    <x v="3"/>
    <x v="1"/>
  </r>
  <r>
    <n v="13572"/>
    <x v="1"/>
    <x v="1"/>
    <n v="10000"/>
    <x v="2"/>
    <n v="3"/>
    <x v="2"/>
    <s v="Manual"/>
    <s v="Yes"/>
    <n v="0"/>
    <x v="0"/>
    <x v="0"/>
    <n v="37"/>
    <x v="0"/>
    <x v="1"/>
  </r>
  <r>
    <n v="27941"/>
    <x v="0"/>
    <x v="0"/>
    <n v="80000"/>
    <x v="1"/>
    <n v="4"/>
    <x v="1"/>
    <s v="Professional"/>
    <s v="Yes"/>
    <n v="2"/>
    <x v="1"/>
    <x v="0"/>
    <n v="53"/>
    <x v="2"/>
    <x v="0"/>
  </r>
  <r>
    <n v="26354"/>
    <x v="1"/>
    <x v="1"/>
    <n v="40000"/>
    <x v="0"/>
    <n v="0"/>
    <x v="4"/>
    <s v="Clerical"/>
    <s v="No"/>
    <n v="0"/>
    <x v="0"/>
    <x v="0"/>
    <n v="38"/>
    <x v="0"/>
    <x v="1"/>
  </r>
  <r>
    <n v="14785"/>
    <x v="1"/>
    <x v="1"/>
    <n v="30000"/>
    <x v="0"/>
    <n v="1"/>
    <x v="0"/>
    <s v="Clerical"/>
    <s v="No"/>
    <n v="1"/>
    <x v="3"/>
    <x v="0"/>
    <n v="39"/>
    <x v="0"/>
    <x v="0"/>
  </r>
  <r>
    <n v="17238"/>
    <x v="1"/>
    <x v="1"/>
    <n v="80000"/>
    <x v="1"/>
    <n v="0"/>
    <x v="0"/>
    <s v="Professional"/>
    <s v="Yes"/>
    <n v="3"/>
    <x v="4"/>
    <x v="1"/>
    <n v="32"/>
    <x v="0"/>
    <x v="0"/>
  </r>
  <r>
    <n v="23608"/>
    <x v="0"/>
    <x v="0"/>
    <n v="150000"/>
    <x v="3"/>
    <n v="3"/>
    <x v="2"/>
    <s v="Professional"/>
    <s v="Yes"/>
    <n v="3"/>
    <x v="0"/>
    <x v="0"/>
    <n v="51"/>
    <x v="2"/>
    <x v="1"/>
  </r>
  <r>
    <n v="22538"/>
    <x v="1"/>
    <x v="0"/>
    <n v="10000"/>
    <x v="2"/>
    <n v="0"/>
    <x v="3"/>
    <s v="Manual"/>
    <s v="Yes"/>
    <n v="2"/>
    <x v="3"/>
    <x v="0"/>
    <n v="33"/>
    <x v="0"/>
    <x v="0"/>
  </r>
  <r>
    <n v="12332"/>
    <x v="0"/>
    <x v="1"/>
    <n v="90000"/>
    <x v="1"/>
    <n v="4"/>
    <x v="2"/>
    <s v="Management"/>
    <s v="Yes"/>
    <n v="3"/>
    <x v="2"/>
    <x v="0"/>
    <n v="58"/>
    <x v="2"/>
    <x v="1"/>
  </r>
  <r>
    <n v="17230"/>
    <x v="0"/>
    <x v="1"/>
    <n v="80000"/>
    <x v="1"/>
    <n v="0"/>
    <x v="0"/>
    <s v="Professional"/>
    <s v="Yes"/>
    <n v="3"/>
    <x v="4"/>
    <x v="1"/>
    <n v="30"/>
    <x v="0"/>
    <x v="0"/>
  </r>
  <r>
    <n v="13082"/>
    <x v="1"/>
    <x v="1"/>
    <n v="130000"/>
    <x v="4"/>
    <n v="0"/>
    <x v="4"/>
    <s v="Management"/>
    <s v="Yes"/>
    <n v="0"/>
    <x v="1"/>
    <x v="1"/>
    <n v="48"/>
    <x v="2"/>
    <x v="1"/>
  </r>
  <r>
    <n v="22518"/>
    <x v="1"/>
    <x v="0"/>
    <n v="30000"/>
    <x v="0"/>
    <n v="3"/>
    <x v="1"/>
    <s v="Clerical"/>
    <s v="No"/>
    <n v="2"/>
    <x v="0"/>
    <x v="0"/>
    <n v="27"/>
    <x v="3"/>
    <x v="1"/>
  </r>
  <r>
    <n v="13687"/>
    <x v="0"/>
    <x v="1"/>
    <n v="40000"/>
    <x v="0"/>
    <n v="1"/>
    <x v="0"/>
    <s v="Skilled Manual"/>
    <s v="Yes"/>
    <n v="1"/>
    <x v="0"/>
    <x v="0"/>
    <n v="33"/>
    <x v="0"/>
    <x v="1"/>
  </r>
  <r>
    <n v="23571"/>
    <x v="0"/>
    <x v="0"/>
    <n v="40000"/>
    <x v="0"/>
    <n v="2"/>
    <x v="0"/>
    <s v="Management"/>
    <s v="Yes"/>
    <n v="2"/>
    <x v="0"/>
    <x v="1"/>
    <n v="66"/>
    <x v="1"/>
    <x v="1"/>
  </r>
  <r>
    <n v="19305"/>
    <x v="1"/>
    <x v="0"/>
    <n v="10000"/>
    <x v="2"/>
    <n v="2"/>
    <x v="2"/>
    <s v="Manual"/>
    <s v="Yes"/>
    <n v="1"/>
    <x v="0"/>
    <x v="0"/>
    <n v="38"/>
    <x v="0"/>
    <x v="1"/>
  </r>
  <r>
    <n v="22636"/>
    <x v="1"/>
    <x v="0"/>
    <n v="40000"/>
    <x v="0"/>
    <n v="0"/>
    <x v="0"/>
    <s v="Clerical"/>
    <s v="No"/>
    <n v="0"/>
    <x v="0"/>
    <x v="0"/>
    <n v="38"/>
    <x v="0"/>
    <x v="1"/>
  </r>
  <r>
    <n v="17310"/>
    <x v="0"/>
    <x v="1"/>
    <n v="60000"/>
    <x v="1"/>
    <n v="1"/>
    <x v="1"/>
    <s v="Skilled Manual"/>
    <s v="Yes"/>
    <n v="1"/>
    <x v="0"/>
    <x v="1"/>
    <n v="45"/>
    <x v="2"/>
    <x v="1"/>
  </r>
  <r>
    <n v="12133"/>
    <x v="0"/>
    <x v="0"/>
    <n v="130000"/>
    <x v="4"/>
    <n v="3"/>
    <x v="1"/>
    <s v="Professional"/>
    <s v="Yes"/>
    <n v="3"/>
    <x v="2"/>
    <x v="0"/>
    <n v="50"/>
    <x v="2"/>
    <x v="1"/>
  </r>
  <r>
    <n v="25918"/>
    <x v="1"/>
    <x v="0"/>
    <n v="30000"/>
    <x v="0"/>
    <n v="2"/>
    <x v="1"/>
    <s v="Clerical"/>
    <s v="No"/>
    <n v="2"/>
    <x v="2"/>
    <x v="1"/>
    <n v="60"/>
    <x v="1"/>
    <x v="1"/>
  </r>
  <r>
    <n v="25752"/>
    <x v="1"/>
    <x v="0"/>
    <n v="20000"/>
    <x v="0"/>
    <n v="2"/>
    <x v="1"/>
    <s v="Manual"/>
    <s v="No"/>
    <n v="1"/>
    <x v="0"/>
    <x v="0"/>
    <n v="53"/>
    <x v="2"/>
    <x v="1"/>
  </r>
  <r>
    <n v="17324"/>
    <x v="0"/>
    <x v="0"/>
    <n v="100000"/>
    <x v="4"/>
    <n v="4"/>
    <x v="0"/>
    <s v="Professional"/>
    <s v="Yes"/>
    <n v="1"/>
    <x v="4"/>
    <x v="1"/>
    <n v="46"/>
    <x v="2"/>
    <x v="0"/>
  </r>
  <r>
    <n v="22918"/>
    <x v="1"/>
    <x v="1"/>
    <n v="80000"/>
    <x v="1"/>
    <n v="5"/>
    <x v="4"/>
    <s v="Management"/>
    <s v="Yes"/>
    <n v="3"/>
    <x v="0"/>
    <x v="1"/>
    <n v="50"/>
    <x v="2"/>
    <x v="0"/>
  </r>
  <r>
    <n v="12510"/>
    <x v="0"/>
    <x v="1"/>
    <n v="40000"/>
    <x v="0"/>
    <n v="1"/>
    <x v="0"/>
    <s v="Skilled Manual"/>
    <s v="Yes"/>
    <n v="1"/>
    <x v="0"/>
    <x v="0"/>
    <n v="43"/>
    <x v="0"/>
    <x v="1"/>
  </r>
  <r>
    <n v="25512"/>
    <x v="1"/>
    <x v="1"/>
    <n v="20000"/>
    <x v="0"/>
    <n v="0"/>
    <x v="2"/>
    <s v="Manual"/>
    <s v="No"/>
    <n v="1"/>
    <x v="1"/>
    <x v="0"/>
    <n v="30"/>
    <x v="0"/>
    <x v="0"/>
  </r>
  <r>
    <n v="16179"/>
    <x v="1"/>
    <x v="0"/>
    <n v="80000"/>
    <x v="1"/>
    <n v="5"/>
    <x v="0"/>
    <s v="Professional"/>
    <s v="Yes"/>
    <n v="4"/>
    <x v="3"/>
    <x v="1"/>
    <n v="38"/>
    <x v="0"/>
    <x v="0"/>
  </r>
  <r>
    <n v="15628"/>
    <x v="0"/>
    <x v="0"/>
    <n v="40000"/>
    <x v="0"/>
    <n v="1"/>
    <x v="0"/>
    <s v="Skilled Manual"/>
    <s v="Yes"/>
    <n v="1"/>
    <x v="0"/>
    <x v="0"/>
    <n v="89"/>
    <x v="1"/>
    <x v="0"/>
  </r>
  <r>
    <n v="20977"/>
    <x v="0"/>
    <x v="1"/>
    <n v="20000"/>
    <x v="0"/>
    <n v="1"/>
    <x v="0"/>
    <s v="Clerical"/>
    <s v="Yes"/>
    <n v="0"/>
    <x v="0"/>
    <x v="0"/>
    <n v="64"/>
    <x v="1"/>
    <x v="1"/>
  </r>
  <r>
    <n v="18140"/>
    <x v="0"/>
    <x v="1"/>
    <n v="130000"/>
    <x v="4"/>
    <n v="3"/>
    <x v="1"/>
    <s v="Professional"/>
    <s v="No"/>
    <n v="3"/>
    <x v="2"/>
    <x v="0"/>
    <n v="51"/>
    <x v="2"/>
    <x v="1"/>
  </r>
  <r>
    <n v="20417"/>
    <x v="0"/>
    <x v="1"/>
    <n v="30000"/>
    <x v="0"/>
    <n v="3"/>
    <x v="1"/>
    <s v="Clerical"/>
    <s v="No"/>
    <n v="2"/>
    <x v="2"/>
    <x v="1"/>
    <n v="56"/>
    <x v="2"/>
    <x v="0"/>
  </r>
  <r>
    <n v="18267"/>
    <x v="0"/>
    <x v="1"/>
    <n v="60000"/>
    <x v="1"/>
    <n v="3"/>
    <x v="0"/>
    <s v="Professional"/>
    <s v="Yes"/>
    <n v="2"/>
    <x v="2"/>
    <x v="1"/>
    <n v="43"/>
    <x v="0"/>
    <x v="0"/>
  </r>
  <r>
    <n v="13620"/>
    <x v="1"/>
    <x v="1"/>
    <n v="70000"/>
    <x v="1"/>
    <n v="0"/>
    <x v="0"/>
    <s v="Professional"/>
    <s v="No"/>
    <n v="3"/>
    <x v="4"/>
    <x v="1"/>
    <n v="30"/>
    <x v="0"/>
    <x v="1"/>
  </r>
  <r>
    <n v="22974"/>
    <x v="0"/>
    <x v="0"/>
    <n v="30000"/>
    <x v="0"/>
    <n v="2"/>
    <x v="1"/>
    <s v="Clerical"/>
    <s v="Yes"/>
    <n v="2"/>
    <x v="2"/>
    <x v="1"/>
    <n v="69"/>
    <x v="1"/>
    <x v="0"/>
  </r>
  <r>
    <n v="13586"/>
    <x v="0"/>
    <x v="1"/>
    <n v="80000"/>
    <x v="1"/>
    <n v="4"/>
    <x v="1"/>
    <s v="Professional"/>
    <s v="Yes"/>
    <n v="2"/>
    <x v="4"/>
    <x v="0"/>
    <n v="53"/>
    <x v="2"/>
    <x v="0"/>
  </r>
  <r>
    <n v="17978"/>
    <x v="0"/>
    <x v="1"/>
    <n v="40000"/>
    <x v="0"/>
    <n v="0"/>
    <x v="4"/>
    <s v="Clerical"/>
    <s v="Yes"/>
    <n v="0"/>
    <x v="0"/>
    <x v="0"/>
    <n v="37"/>
    <x v="0"/>
    <x v="1"/>
  </r>
  <r>
    <n v="12581"/>
    <x v="1"/>
    <x v="0"/>
    <n v="10000"/>
    <x v="2"/>
    <n v="0"/>
    <x v="1"/>
    <s v="Manual"/>
    <s v="No"/>
    <n v="1"/>
    <x v="0"/>
    <x v="1"/>
    <n v="28"/>
    <x v="3"/>
    <x v="1"/>
  </r>
  <r>
    <n v="18018"/>
    <x v="1"/>
    <x v="1"/>
    <n v="30000"/>
    <x v="0"/>
    <n v="3"/>
    <x v="1"/>
    <s v="Clerical"/>
    <s v="Yes"/>
    <n v="0"/>
    <x v="0"/>
    <x v="0"/>
    <n v="43"/>
    <x v="0"/>
    <x v="0"/>
  </r>
  <r>
    <n v="28957"/>
    <x v="1"/>
    <x v="0"/>
    <n v="120000"/>
    <x v="4"/>
    <n v="0"/>
    <x v="3"/>
    <s v="Professional"/>
    <s v="Yes"/>
    <n v="4"/>
    <x v="4"/>
    <x v="1"/>
    <n v="34"/>
    <x v="0"/>
    <x v="1"/>
  </r>
  <r>
    <n v="13690"/>
    <x v="1"/>
    <x v="0"/>
    <n v="20000"/>
    <x v="0"/>
    <n v="0"/>
    <x v="3"/>
    <s v="Manual"/>
    <s v="No"/>
    <n v="2"/>
    <x v="3"/>
    <x v="0"/>
    <n v="34"/>
    <x v="0"/>
    <x v="1"/>
  </r>
  <r>
    <n v="12568"/>
    <x v="0"/>
    <x v="0"/>
    <n v="30000"/>
    <x v="0"/>
    <n v="1"/>
    <x v="0"/>
    <s v="Clerical"/>
    <s v="Yes"/>
    <n v="0"/>
    <x v="0"/>
    <x v="0"/>
    <n v="64"/>
    <x v="1"/>
    <x v="0"/>
  </r>
  <r>
    <n v="13122"/>
    <x v="0"/>
    <x v="0"/>
    <n v="80000"/>
    <x v="1"/>
    <n v="0"/>
    <x v="0"/>
    <s v="Professional"/>
    <s v="Yes"/>
    <n v="1"/>
    <x v="3"/>
    <x v="1"/>
    <n v="41"/>
    <x v="0"/>
    <x v="1"/>
  </r>
  <r>
    <n v="21184"/>
    <x v="1"/>
    <x v="1"/>
    <n v="70000"/>
    <x v="1"/>
    <n v="0"/>
    <x v="0"/>
    <s v="Professional"/>
    <s v="No"/>
    <n v="1"/>
    <x v="2"/>
    <x v="1"/>
    <n v="38"/>
    <x v="0"/>
    <x v="0"/>
  </r>
  <r>
    <n v="26150"/>
    <x v="1"/>
    <x v="0"/>
    <n v="70000"/>
    <x v="1"/>
    <n v="0"/>
    <x v="0"/>
    <s v="Professional"/>
    <s v="No"/>
    <n v="1"/>
    <x v="0"/>
    <x v="1"/>
    <n v="41"/>
    <x v="0"/>
    <x v="1"/>
  </r>
  <r>
    <n v="24151"/>
    <x v="1"/>
    <x v="1"/>
    <n v="20000"/>
    <x v="0"/>
    <n v="1"/>
    <x v="0"/>
    <s v="Clerical"/>
    <s v="No"/>
    <n v="0"/>
    <x v="0"/>
    <x v="0"/>
    <n v="51"/>
    <x v="2"/>
    <x v="0"/>
  </r>
  <r>
    <n v="23962"/>
    <x v="0"/>
    <x v="0"/>
    <n v="10000"/>
    <x v="2"/>
    <n v="0"/>
    <x v="3"/>
    <s v="Manual"/>
    <s v="Yes"/>
    <n v="2"/>
    <x v="3"/>
    <x v="0"/>
    <n v="32"/>
    <x v="0"/>
    <x v="0"/>
  </r>
  <r>
    <n v="17793"/>
    <x v="0"/>
    <x v="0"/>
    <n v="40000"/>
    <x v="0"/>
    <n v="0"/>
    <x v="0"/>
    <s v="Clerical"/>
    <s v="Yes"/>
    <n v="0"/>
    <x v="0"/>
    <x v="0"/>
    <n v="38"/>
    <x v="0"/>
    <x v="1"/>
  </r>
  <r>
    <n v="14926"/>
    <x v="0"/>
    <x v="1"/>
    <n v="30000"/>
    <x v="0"/>
    <n v="1"/>
    <x v="0"/>
    <s v="Clerical"/>
    <s v="Yes"/>
    <n v="0"/>
    <x v="0"/>
    <x v="0"/>
    <n v="38"/>
    <x v="0"/>
    <x v="1"/>
  </r>
  <r>
    <n v="16163"/>
    <x v="1"/>
    <x v="1"/>
    <n v="60000"/>
    <x v="1"/>
    <n v="2"/>
    <x v="0"/>
    <s v="Professional"/>
    <s v="Yes"/>
    <n v="1"/>
    <x v="1"/>
    <x v="1"/>
    <n v="38"/>
    <x v="0"/>
    <x v="1"/>
  </r>
  <r>
    <n v="21365"/>
    <x v="0"/>
    <x v="0"/>
    <n v="10000"/>
    <x v="2"/>
    <n v="2"/>
    <x v="3"/>
    <s v="Clerical"/>
    <s v="Yes"/>
    <n v="2"/>
    <x v="2"/>
    <x v="1"/>
    <n v="58"/>
    <x v="2"/>
    <x v="0"/>
  </r>
  <r>
    <n v="27771"/>
    <x v="1"/>
    <x v="1"/>
    <n v="30000"/>
    <x v="0"/>
    <n v="1"/>
    <x v="0"/>
    <s v="Clerical"/>
    <s v="Yes"/>
    <n v="1"/>
    <x v="3"/>
    <x v="0"/>
    <n v="39"/>
    <x v="0"/>
    <x v="1"/>
  </r>
  <r>
    <n v="26167"/>
    <x v="1"/>
    <x v="0"/>
    <n v="40000"/>
    <x v="0"/>
    <n v="2"/>
    <x v="0"/>
    <s v="Management"/>
    <s v="No"/>
    <n v="1"/>
    <x v="2"/>
    <x v="1"/>
    <n v="53"/>
    <x v="2"/>
    <x v="1"/>
  </r>
  <r>
    <n v="25792"/>
    <x v="1"/>
    <x v="0"/>
    <n v="110000"/>
    <x v="4"/>
    <n v="3"/>
    <x v="0"/>
    <s v="Management"/>
    <s v="Yes"/>
    <n v="4"/>
    <x v="4"/>
    <x v="0"/>
    <n v="53"/>
    <x v="2"/>
    <x v="0"/>
  </r>
  <r>
    <n v="11555"/>
    <x v="0"/>
    <x v="0"/>
    <n v="40000"/>
    <x v="0"/>
    <n v="1"/>
    <x v="0"/>
    <s v="Clerical"/>
    <s v="Yes"/>
    <n v="0"/>
    <x v="0"/>
    <x v="0"/>
    <n v="80"/>
    <x v="1"/>
    <x v="0"/>
  </r>
  <r>
    <n v="22381"/>
    <x v="0"/>
    <x v="1"/>
    <n v="10000"/>
    <x v="2"/>
    <n v="1"/>
    <x v="4"/>
    <s v="Manual"/>
    <s v="Yes"/>
    <n v="0"/>
    <x v="0"/>
    <x v="0"/>
    <n v="44"/>
    <x v="0"/>
    <x v="0"/>
  </r>
  <r>
    <n v="17882"/>
    <x v="0"/>
    <x v="1"/>
    <n v="20000"/>
    <x v="0"/>
    <n v="1"/>
    <x v="4"/>
    <s v="Clerical"/>
    <s v="Yes"/>
    <n v="0"/>
    <x v="0"/>
    <x v="0"/>
    <n v="44"/>
    <x v="0"/>
    <x v="0"/>
  </r>
  <r>
    <n v="22174"/>
    <x v="0"/>
    <x v="1"/>
    <n v="30000"/>
    <x v="0"/>
    <n v="3"/>
    <x v="2"/>
    <s v="Skilled Manual"/>
    <s v="Yes"/>
    <n v="2"/>
    <x v="2"/>
    <x v="1"/>
    <n v="54"/>
    <x v="2"/>
    <x v="1"/>
  </r>
  <r>
    <n v="22439"/>
    <x v="0"/>
    <x v="0"/>
    <n v="30000"/>
    <x v="0"/>
    <n v="0"/>
    <x v="0"/>
    <s v="Clerical"/>
    <s v="Yes"/>
    <n v="0"/>
    <x v="0"/>
    <x v="0"/>
    <n v="37"/>
    <x v="0"/>
    <x v="1"/>
  </r>
  <r>
    <n v="18012"/>
    <x v="0"/>
    <x v="0"/>
    <n v="40000"/>
    <x v="0"/>
    <n v="1"/>
    <x v="0"/>
    <s v="Skilled Manual"/>
    <s v="Yes"/>
    <n v="0"/>
    <x v="0"/>
    <x v="0"/>
    <n v="41"/>
    <x v="0"/>
    <x v="0"/>
  </r>
  <r>
    <n v="27582"/>
    <x v="1"/>
    <x v="0"/>
    <n v="90000"/>
    <x v="1"/>
    <n v="2"/>
    <x v="0"/>
    <s v="Professional"/>
    <s v="No"/>
    <n v="0"/>
    <x v="0"/>
    <x v="1"/>
    <n v="36"/>
    <x v="0"/>
    <x v="1"/>
  </r>
  <r>
    <n v="12744"/>
    <x v="1"/>
    <x v="0"/>
    <n v="40000"/>
    <x v="0"/>
    <n v="2"/>
    <x v="1"/>
    <s v="Clerical"/>
    <s v="Yes"/>
    <n v="0"/>
    <x v="0"/>
    <x v="0"/>
    <n v="33"/>
    <x v="0"/>
    <x v="0"/>
  </r>
  <r>
    <n v="22821"/>
    <x v="0"/>
    <x v="0"/>
    <n v="130000"/>
    <x v="4"/>
    <n v="3"/>
    <x v="1"/>
    <s v="Professional"/>
    <s v="Yes"/>
    <n v="4"/>
    <x v="0"/>
    <x v="0"/>
    <n v="52"/>
    <x v="2"/>
    <x v="0"/>
  </r>
  <r>
    <n v="20171"/>
    <x v="0"/>
    <x v="0"/>
    <n v="20000"/>
    <x v="0"/>
    <n v="2"/>
    <x v="1"/>
    <s v="Manual"/>
    <s v="Yes"/>
    <n v="1"/>
    <x v="0"/>
    <x v="0"/>
    <n v="46"/>
    <x v="2"/>
    <x v="1"/>
  </r>
  <r>
    <n v="11116"/>
    <x v="0"/>
    <x v="1"/>
    <n v="70000"/>
    <x v="1"/>
    <n v="5"/>
    <x v="1"/>
    <s v="Skilled Manual"/>
    <s v="Yes"/>
    <n v="2"/>
    <x v="2"/>
    <x v="1"/>
    <n v="43"/>
    <x v="0"/>
    <x v="0"/>
  </r>
  <r>
    <n v="20053"/>
    <x v="1"/>
    <x v="1"/>
    <n v="40000"/>
    <x v="0"/>
    <n v="2"/>
    <x v="1"/>
    <s v="Clerical"/>
    <s v="Yes"/>
    <n v="0"/>
    <x v="0"/>
    <x v="0"/>
    <n v="34"/>
    <x v="0"/>
    <x v="0"/>
  </r>
  <r>
    <n v="25266"/>
    <x v="1"/>
    <x v="0"/>
    <n v="30000"/>
    <x v="0"/>
    <n v="2"/>
    <x v="1"/>
    <s v="Clerical"/>
    <s v="No"/>
    <n v="2"/>
    <x v="2"/>
    <x v="1"/>
    <n v="67"/>
    <x v="1"/>
    <x v="0"/>
  </r>
  <r>
    <n v="17960"/>
    <x v="0"/>
    <x v="0"/>
    <n v="40000"/>
    <x v="0"/>
    <n v="0"/>
    <x v="4"/>
    <s v="Clerical"/>
    <s v="Yes"/>
    <n v="0"/>
    <x v="0"/>
    <x v="0"/>
    <n v="35"/>
    <x v="0"/>
    <x v="1"/>
  </r>
  <r>
    <n v="13961"/>
    <x v="0"/>
    <x v="0"/>
    <n v="80000"/>
    <x v="1"/>
    <n v="5"/>
    <x v="4"/>
    <s v="Management"/>
    <s v="Yes"/>
    <n v="3"/>
    <x v="0"/>
    <x v="1"/>
    <n v="40"/>
    <x v="0"/>
    <x v="0"/>
  </r>
  <r>
    <n v="11897"/>
    <x v="1"/>
    <x v="1"/>
    <n v="60000"/>
    <x v="1"/>
    <n v="2"/>
    <x v="0"/>
    <s v="Professional"/>
    <s v="No"/>
    <n v="1"/>
    <x v="0"/>
    <x v="1"/>
    <n v="37"/>
    <x v="0"/>
    <x v="1"/>
  </r>
  <r>
    <n v="11139"/>
    <x v="1"/>
    <x v="0"/>
    <n v="30000"/>
    <x v="0"/>
    <n v="2"/>
    <x v="1"/>
    <s v="Clerical"/>
    <s v="No"/>
    <n v="2"/>
    <x v="2"/>
    <x v="1"/>
    <n v="67"/>
    <x v="1"/>
    <x v="0"/>
  </r>
  <r>
    <n v="11576"/>
    <x v="0"/>
    <x v="1"/>
    <n v="30000"/>
    <x v="0"/>
    <n v="1"/>
    <x v="0"/>
    <s v="Skilled Manual"/>
    <s v="Yes"/>
    <n v="2"/>
    <x v="0"/>
    <x v="0"/>
    <n v="41"/>
    <x v="0"/>
    <x v="1"/>
  </r>
  <r>
    <n v="19255"/>
    <x v="1"/>
    <x v="1"/>
    <n v="10000"/>
    <x v="2"/>
    <n v="2"/>
    <x v="1"/>
    <s v="Manual"/>
    <s v="Yes"/>
    <n v="1"/>
    <x v="0"/>
    <x v="0"/>
    <n v="51"/>
    <x v="2"/>
    <x v="1"/>
  </r>
  <r>
    <n v="18153"/>
    <x v="0"/>
    <x v="0"/>
    <n v="100000"/>
    <x v="4"/>
    <n v="2"/>
    <x v="0"/>
    <s v="Management"/>
    <s v="Yes"/>
    <n v="4"/>
    <x v="4"/>
    <x v="0"/>
    <n v="59"/>
    <x v="2"/>
    <x v="0"/>
  </r>
  <r>
    <n v="14547"/>
    <x v="0"/>
    <x v="1"/>
    <n v="10000"/>
    <x v="2"/>
    <n v="2"/>
    <x v="1"/>
    <s v="Manual"/>
    <s v="Yes"/>
    <n v="0"/>
    <x v="3"/>
    <x v="0"/>
    <n v="51"/>
    <x v="2"/>
    <x v="0"/>
  </r>
  <r>
    <n v="24901"/>
    <x v="1"/>
    <x v="1"/>
    <n v="110000"/>
    <x v="4"/>
    <n v="0"/>
    <x v="1"/>
    <s v="Management"/>
    <s v="No"/>
    <n v="3"/>
    <x v="4"/>
    <x v="1"/>
    <n v="32"/>
    <x v="0"/>
    <x v="1"/>
  </r>
  <r>
    <n v="27169"/>
    <x v="1"/>
    <x v="1"/>
    <n v="30000"/>
    <x v="0"/>
    <n v="0"/>
    <x v="2"/>
    <s v="Manual"/>
    <s v="Yes"/>
    <n v="1"/>
    <x v="1"/>
    <x v="0"/>
    <n v="34"/>
    <x v="0"/>
    <x v="1"/>
  </r>
  <r>
    <n v="14805"/>
    <x v="1"/>
    <x v="0"/>
    <n v="10000"/>
    <x v="2"/>
    <n v="3"/>
    <x v="3"/>
    <s v="Manual"/>
    <s v="Yes"/>
    <n v="2"/>
    <x v="0"/>
    <x v="0"/>
    <n v="43"/>
    <x v="0"/>
    <x v="0"/>
  </r>
  <r>
    <n v="15822"/>
    <x v="0"/>
    <x v="1"/>
    <n v="40000"/>
    <x v="0"/>
    <n v="2"/>
    <x v="0"/>
    <s v="Management"/>
    <s v="Yes"/>
    <n v="2"/>
    <x v="0"/>
    <x v="1"/>
    <n v="67"/>
    <x v="1"/>
    <x v="0"/>
  </r>
  <r>
    <n v="19389"/>
    <x v="1"/>
    <x v="1"/>
    <n v="30000"/>
    <x v="0"/>
    <n v="0"/>
    <x v="1"/>
    <s v="Clerical"/>
    <s v="No"/>
    <n v="1"/>
    <x v="1"/>
    <x v="0"/>
    <n v="28"/>
    <x v="3"/>
    <x v="0"/>
  </r>
  <r>
    <n v="17048"/>
    <x v="1"/>
    <x v="0"/>
    <n v="90000"/>
    <x v="1"/>
    <n v="1"/>
    <x v="4"/>
    <s v="Management"/>
    <s v="Yes"/>
    <n v="0"/>
    <x v="0"/>
    <x v="1"/>
    <n v="36"/>
    <x v="0"/>
    <x v="1"/>
  </r>
  <r>
    <n v="22204"/>
    <x v="0"/>
    <x v="1"/>
    <n v="110000"/>
    <x v="4"/>
    <n v="4"/>
    <x v="0"/>
    <s v="Management"/>
    <s v="Yes"/>
    <n v="3"/>
    <x v="1"/>
    <x v="1"/>
    <n v="48"/>
    <x v="2"/>
    <x v="0"/>
  </r>
  <r>
    <n v="12718"/>
    <x v="1"/>
    <x v="0"/>
    <n v="30000"/>
    <x v="0"/>
    <n v="0"/>
    <x v="1"/>
    <s v="Clerical"/>
    <s v="Yes"/>
    <n v="1"/>
    <x v="1"/>
    <x v="0"/>
    <n v="31"/>
    <x v="0"/>
    <x v="0"/>
  </r>
  <r>
    <n v="15019"/>
    <x v="1"/>
    <x v="0"/>
    <n v="30000"/>
    <x v="0"/>
    <n v="3"/>
    <x v="2"/>
    <s v="Skilled Manual"/>
    <s v="Yes"/>
    <n v="2"/>
    <x v="2"/>
    <x v="1"/>
    <n v="55"/>
    <x v="2"/>
    <x v="0"/>
  </r>
  <r>
    <n v="28488"/>
    <x v="1"/>
    <x v="1"/>
    <n v="20000"/>
    <x v="0"/>
    <n v="0"/>
    <x v="1"/>
    <s v="Manual"/>
    <s v="Yes"/>
    <n v="0"/>
    <x v="0"/>
    <x v="1"/>
    <n v="28"/>
    <x v="3"/>
    <x v="1"/>
  </r>
  <r>
    <n v="21891"/>
    <x v="0"/>
    <x v="0"/>
    <n v="110000"/>
    <x v="4"/>
    <n v="0"/>
    <x v="2"/>
    <s v="Management"/>
    <s v="Yes"/>
    <n v="3"/>
    <x v="4"/>
    <x v="1"/>
    <n v="34"/>
    <x v="0"/>
    <x v="1"/>
  </r>
  <r>
    <n v="27814"/>
    <x v="1"/>
    <x v="0"/>
    <n v="30000"/>
    <x v="0"/>
    <n v="3"/>
    <x v="1"/>
    <s v="Clerical"/>
    <s v="No"/>
    <n v="1"/>
    <x v="0"/>
    <x v="0"/>
    <n v="26"/>
    <x v="3"/>
    <x v="0"/>
  </r>
  <r>
    <n v="22175"/>
    <x v="0"/>
    <x v="0"/>
    <n v="30000"/>
    <x v="0"/>
    <n v="3"/>
    <x v="2"/>
    <s v="Skilled Manual"/>
    <s v="Yes"/>
    <n v="2"/>
    <x v="2"/>
    <x v="1"/>
    <n v="53"/>
    <x v="2"/>
    <x v="1"/>
  </r>
  <r>
    <n v="29447"/>
    <x v="1"/>
    <x v="0"/>
    <n v="10000"/>
    <x v="2"/>
    <n v="2"/>
    <x v="0"/>
    <s v="Clerical"/>
    <s v="No"/>
    <n v="1"/>
    <x v="1"/>
    <x v="0"/>
    <n v="68"/>
    <x v="1"/>
    <x v="0"/>
  </r>
  <r>
    <n v="19784"/>
    <x v="0"/>
    <x v="0"/>
    <n v="80000"/>
    <x v="1"/>
    <n v="2"/>
    <x v="2"/>
    <s v="Skilled Manual"/>
    <s v="Yes"/>
    <n v="2"/>
    <x v="2"/>
    <x v="1"/>
    <n v="50"/>
    <x v="2"/>
    <x v="1"/>
  </r>
  <r>
    <n v="27824"/>
    <x v="1"/>
    <x v="0"/>
    <n v="30000"/>
    <x v="0"/>
    <n v="3"/>
    <x v="1"/>
    <s v="Clerical"/>
    <s v="Yes"/>
    <n v="2"/>
    <x v="0"/>
    <x v="0"/>
    <n v="28"/>
    <x v="3"/>
    <x v="1"/>
  </r>
  <r>
    <n v="24093"/>
    <x v="1"/>
    <x v="0"/>
    <n v="80000"/>
    <x v="1"/>
    <n v="0"/>
    <x v="4"/>
    <s v="Skilled Manual"/>
    <s v="No"/>
    <n v="0"/>
    <x v="0"/>
    <x v="0"/>
    <n v="40"/>
    <x v="0"/>
    <x v="1"/>
  </r>
  <r>
    <n v="19618"/>
    <x v="0"/>
    <x v="1"/>
    <n v="70000"/>
    <x v="1"/>
    <n v="5"/>
    <x v="1"/>
    <s v="Skilled Manual"/>
    <s v="Yes"/>
    <n v="2"/>
    <x v="0"/>
    <x v="1"/>
    <n v="44"/>
    <x v="0"/>
    <x v="0"/>
  </r>
  <r>
    <n v="21561"/>
    <x v="1"/>
    <x v="1"/>
    <n v="90000"/>
    <x v="1"/>
    <n v="0"/>
    <x v="0"/>
    <s v="Professional"/>
    <s v="No"/>
    <n v="3"/>
    <x v="4"/>
    <x v="1"/>
    <n v="34"/>
    <x v="0"/>
    <x v="1"/>
  </r>
  <r>
    <n v="11061"/>
    <x v="0"/>
    <x v="1"/>
    <n v="70000"/>
    <x v="1"/>
    <n v="2"/>
    <x v="1"/>
    <s v="Skilled Manual"/>
    <s v="Yes"/>
    <n v="2"/>
    <x v="2"/>
    <x v="1"/>
    <n v="52"/>
    <x v="2"/>
    <x v="1"/>
  </r>
  <r>
    <n v="26651"/>
    <x v="1"/>
    <x v="1"/>
    <n v="80000"/>
    <x v="1"/>
    <n v="4"/>
    <x v="4"/>
    <s v="Management"/>
    <s v="Yes"/>
    <n v="0"/>
    <x v="0"/>
    <x v="1"/>
    <n v="36"/>
    <x v="0"/>
    <x v="1"/>
  </r>
  <r>
    <n v="21108"/>
    <x v="0"/>
    <x v="0"/>
    <n v="40000"/>
    <x v="0"/>
    <n v="1"/>
    <x v="0"/>
    <s v="Skilled Manual"/>
    <s v="Yes"/>
    <n v="1"/>
    <x v="0"/>
    <x v="0"/>
    <n v="43"/>
    <x v="0"/>
    <x v="1"/>
  </r>
  <r>
    <n v="12731"/>
    <x v="1"/>
    <x v="1"/>
    <n v="30000"/>
    <x v="0"/>
    <n v="0"/>
    <x v="2"/>
    <s v="Manual"/>
    <s v="No"/>
    <n v="1"/>
    <x v="3"/>
    <x v="0"/>
    <n v="32"/>
    <x v="0"/>
    <x v="0"/>
  </r>
  <r>
    <n v="25307"/>
    <x v="0"/>
    <x v="0"/>
    <n v="40000"/>
    <x v="0"/>
    <n v="1"/>
    <x v="0"/>
    <s v="Skilled Manual"/>
    <s v="Yes"/>
    <n v="1"/>
    <x v="3"/>
    <x v="0"/>
    <n v="32"/>
    <x v="0"/>
    <x v="1"/>
  </r>
  <r>
    <n v="14278"/>
    <x v="0"/>
    <x v="0"/>
    <n v="130000"/>
    <x v="4"/>
    <n v="0"/>
    <x v="4"/>
    <s v="Management"/>
    <s v="Yes"/>
    <n v="1"/>
    <x v="4"/>
    <x v="1"/>
    <n v="48"/>
    <x v="2"/>
    <x v="0"/>
  </r>
  <r>
    <n v="20711"/>
    <x v="0"/>
    <x v="0"/>
    <n v="40000"/>
    <x v="0"/>
    <n v="1"/>
    <x v="0"/>
    <s v="Skilled Manual"/>
    <s v="Yes"/>
    <n v="0"/>
    <x v="3"/>
    <x v="0"/>
    <n v="32"/>
    <x v="0"/>
    <x v="1"/>
  </r>
  <r>
    <n v="11383"/>
    <x v="0"/>
    <x v="0"/>
    <n v="30000"/>
    <x v="0"/>
    <n v="3"/>
    <x v="4"/>
    <s v="Clerical"/>
    <s v="Yes"/>
    <n v="0"/>
    <x v="0"/>
    <x v="0"/>
    <n v="46"/>
    <x v="2"/>
    <x v="0"/>
  </r>
  <r>
    <n v="12497"/>
    <x v="0"/>
    <x v="0"/>
    <n v="40000"/>
    <x v="0"/>
    <n v="1"/>
    <x v="0"/>
    <s v="Skilled Manual"/>
    <s v="Yes"/>
    <n v="0"/>
    <x v="0"/>
    <x v="0"/>
    <n v="42"/>
    <x v="0"/>
    <x v="0"/>
  </r>
  <r>
    <n v="16559"/>
    <x v="1"/>
    <x v="0"/>
    <n v="10000"/>
    <x v="2"/>
    <n v="2"/>
    <x v="2"/>
    <s v="Manual"/>
    <s v="Yes"/>
    <n v="0"/>
    <x v="0"/>
    <x v="0"/>
    <n v="36"/>
    <x v="0"/>
    <x v="1"/>
  </r>
  <r>
    <n v="11585"/>
    <x v="0"/>
    <x v="0"/>
    <n v="40000"/>
    <x v="0"/>
    <n v="1"/>
    <x v="0"/>
    <s v="Skilled Manual"/>
    <s v="Yes"/>
    <n v="0"/>
    <x v="0"/>
    <x v="0"/>
    <n v="41"/>
    <x v="0"/>
    <x v="0"/>
  </r>
  <r>
    <n v="20277"/>
    <x v="0"/>
    <x v="0"/>
    <n v="30000"/>
    <x v="0"/>
    <n v="2"/>
    <x v="1"/>
    <s v="Clerical"/>
    <s v="No"/>
    <n v="2"/>
    <x v="0"/>
    <x v="1"/>
    <n v="69"/>
    <x v="1"/>
    <x v="0"/>
  </r>
  <r>
    <n v="26765"/>
    <x v="1"/>
    <x v="0"/>
    <n v="70000"/>
    <x v="1"/>
    <n v="5"/>
    <x v="1"/>
    <s v="Skilled Manual"/>
    <s v="Yes"/>
    <n v="2"/>
    <x v="2"/>
    <x v="1"/>
    <n v="45"/>
    <x v="2"/>
    <x v="0"/>
  </r>
  <r>
    <n v="12389"/>
    <x v="1"/>
    <x v="1"/>
    <n v="30000"/>
    <x v="0"/>
    <n v="0"/>
    <x v="2"/>
    <s v="Manual"/>
    <s v="No"/>
    <n v="1"/>
    <x v="1"/>
    <x v="0"/>
    <n v="34"/>
    <x v="0"/>
    <x v="0"/>
  </r>
  <r>
    <n v="13585"/>
    <x v="0"/>
    <x v="0"/>
    <n v="80000"/>
    <x v="1"/>
    <n v="4"/>
    <x v="1"/>
    <s v="Professional"/>
    <s v="No"/>
    <n v="1"/>
    <x v="1"/>
    <x v="0"/>
    <n v="53"/>
    <x v="2"/>
    <x v="1"/>
  </r>
  <r>
    <n v="26385"/>
    <x v="1"/>
    <x v="1"/>
    <n v="120000"/>
    <x v="4"/>
    <n v="3"/>
    <x v="2"/>
    <s v="Professional"/>
    <s v="No"/>
    <n v="4"/>
    <x v="2"/>
    <x v="0"/>
    <n v="50"/>
    <x v="2"/>
    <x v="0"/>
  </r>
  <r>
    <n v="12236"/>
    <x v="0"/>
    <x v="0"/>
    <n v="20000"/>
    <x v="0"/>
    <n v="1"/>
    <x v="1"/>
    <s v="Manual"/>
    <s v="Yes"/>
    <n v="0"/>
    <x v="0"/>
    <x v="0"/>
    <n v="65"/>
    <x v="1"/>
    <x v="0"/>
  </r>
  <r>
    <n v="21560"/>
    <x v="0"/>
    <x v="1"/>
    <n v="120000"/>
    <x v="4"/>
    <n v="0"/>
    <x v="3"/>
    <s v="Professional"/>
    <s v="Yes"/>
    <n v="4"/>
    <x v="4"/>
    <x v="1"/>
    <n v="32"/>
    <x v="0"/>
    <x v="1"/>
  </r>
  <r>
    <n v="21554"/>
    <x v="1"/>
    <x v="0"/>
    <n v="80000"/>
    <x v="1"/>
    <n v="0"/>
    <x v="0"/>
    <s v="Professional"/>
    <s v="No"/>
    <n v="3"/>
    <x v="4"/>
    <x v="1"/>
    <n v="33"/>
    <x v="0"/>
    <x v="0"/>
  </r>
  <r>
    <n v="13662"/>
    <x v="1"/>
    <x v="1"/>
    <n v="20000"/>
    <x v="0"/>
    <n v="0"/>
    <x v="3"/>
    <s v="Manual"/>
    <s v="Yes"/>
    <n v="2"/>
    <x v="3"/>
    <x v="0"/>
    <n v="31"/>
    <x v="0"/>
    <x v="1"/>
  </r>
  <r>
    <n v="13089"/>
    <x v="0"/>
    <x v="0"/>
    <n v="120000"/>
    <x v="4"/>
    <n v="1"/>
    <x v="0"/>
    <s v="Management"/>
    <s v="Yes"/>
    <n v="2"/>
    <x v="0"/>
    <x v="1"/>
    <n v="46"/>
    <x v="2"/>
    <x v="1"/>
  </r>
  <r>
    <n v="14791"/>
    <x v="0"/>
    <x v="0"/>
    <n v="40000"/>
    <x v="0"/>
    <n v="0"/>
    <x v="0"/>
    <s v="Clerical"/>
    <s v="Yes"/>
    <n v="0"/>
    <x v="0"/>
    <x v="0"/>
    <n v="39"/>
    <x v="0"/>
    <x v="1"/>
  </r>
  <r>
    <n v="19331"/>
    <x v="1"/>
    <x v="1"/>
    <n v="20000"/>
    <x v="0"/>
    <n v="2"/>
    <x v="2"/>
    <s v="Manual"/>
    <s v="Yes"/>
    <n v="1"/>
    <x v="0"/>
    <x v="0"/>
    <n v="40"/>
    <x v="0"/>
    <x v="0"/>
  </r>
  <r>
    <n v="17754"/>
    <x v="1"/>
    <x v="0"/>
    <n v="30000"/>
    <x v="0"/>
    <n v="3"/>
    <x v="0"/>
    <s v="Clerical"/>
    <s v="Yes"/>
    <n v="0"/>
    <x v="0"/>
    <x v="0"/>
    <n v="46"/>
    <x v="2"/>
    <x v="1"/>
  </r>
  <r>
    <n v="11149"/>
    <x v="0"/>
    <x v="1"/>
    <n v="40000"/>
    <x v="0"/>
    <n v="2"/>
    <x v="0"/>
    <s v="Management"/>
    <s v="Yes"/>
    <n v="2"/>
    <x v="0"/>
    <x v="1"/>
    <n v="65"/>
    <x v="1"/>
    <x v="0"/>
  </r>
  <r>
    <n v="16549"/>
    <x v="1"/>
    <x v="0"/>
    <n v="30000"/>
    <x v="0"/>
    <n v="3"/>
    <x v="0"/>
    <s v="Clerical"/>
    <s v="Yes"/>
    <n v="0"/>
    <x v="0"/>
    <x v="0"/>
    <n v="47"/>
    <x v="2"/>
    <x v="1"/>
  </r>
  <r>
    <n v="24305"/>
    <x v="1"/>
    <x v="1"/>
    <n v="100000"/>
    <x v="4"/>
    <n v="1"/>
    <x v="0"/>
    <s v="Management"/>
    <s v="No"/>
    <n v="3"/>
    <x v="0"/>
    <x v="1"/>
    <n v="46"/>
    <x v="2"/>
    <x v="1"/>
  </r>
  <r>
    <n v="18253"/>
    <x v="0"/>
    <x v="0"/>
    <n v="80000"/>
    <x v="1"/>
    <n v="5"/>
    <x v="4"/>
    <s v="Management"/>
    <s v="Yes"/>
    <n v="3"/>
    <x v="0"/>
    <x v="1"/>
    <n v="40"/>
    <x v="0"/>
    <x v="0"/>
  </r>
  <r>
    <n v="20147"/>
    <x v="0"/>
    <x v="0"/>
    <n v="30000"/>
    <x v="0"/>
    <n v="1"/>
    <x v="0"/>
    <s v="Clerical"/>
    <s v="Yes"/>
    <n v="0"/>
    <x v="0"/>
    <x v="0"/>
    <n v="65"/>
    <x v="1"/>
    <x v="0"/>
  </r>
  <r>
    <n v="15612"/>
    <x v="1"/>
    <x v="1"/>
    <n v="30000"/>
    <x v="0"/>
    <n v="0"/>
    <x v="2"/>
    <s v="Manual"/>
    <s v="No"/>
    <n v="1"/>
    <x v="3"/>
    <x v="0"/>
    <n v="28"/>
    <x v="3"/>
    <x v="0"/>
  </r>
  <r>
    <n v="28323"/>
    <x v="1"/>
    <x v="1"/>
    <n v="70000"/>
    <x v="1"/>
    <n v="0"/>
    <x v="0"/>
    <s v="Professional"/>
    <s v="No"/>
    <n v="2"/>
    <x v="2"/>
    <x v="1"/>
    <n v="43"/>
    <x v="0"/>
    <x v="1"/>
  </r>
  <r>
    <n v="22634"/>
    <x v="1"/>
    <x v="0"/>
    <n v="40000"/>
    <x v="0"/>
    <n v="0"/>
    <x v="4"/>
    <s v="Clerical"/>
    <s v="Yes"/>
    <n v="0"/>
    <x v="0"/>
    <x v="0"/>
    <n v="38"/>
    <x v="0"/>
    <x v="1"/>
  </r>
  <r>
    <n v="15665"/>
    <x v="0"/>
    <x v="0"/>
    <n v="30000"/>
    <x v="0"/>
    <n v="0"/>
    <x v="0"/>
    <s v="Clerical"/>
    <s v="Yes"/>
    <n v="0"/>
    <x v="0"/>
    <x v="0"/>
    <n v="47"/>
    <x v="2"/>
    <x v="1"/>
  </r>
  <r>
    <n v="27585"/>
    <x v="0"/>
    <x v="0"/>
    <n v="90000"/>
    <x v="1"/>
    <n v="2"/>
    <x v="0"/>
    <s v="Professional"/>
    <s v="No"/>
    <n v="0"/>
    <x v="0"/>
    <x v="1"/>
    <n v="36"/>
    <x v="0"/>
    <x v="1"/>
  </r>
  <r>
    <n v="19748"/>
    <x v="0"/>
    <x v="1"/>
    <n v="20000"/>
    <x v="0"/>
    <n v="4"/>
    <x v="2"/>
    <s v="Skilled Manual"/>
    <s v="No"/>
    <n v="2"/>
    <x v="3"/>
    <x v="1"/>
    <n v="60"/>
    <x v="1"/>
    <x v="0"/>
  </r>
  <r>
    <n v="21974"/>
    <x v="1"/>
    <x v="0"/>
    <n v="70000"/>
    <x v="1"/>
    <n v="0"/>
    <x v="0"/>
    <s v="Professional"/>
    <s v="Yes"/>
    <n v="1"/>
    <x v="2"/>
    <x v="1"/>
    <n v="42"/>
    <x v="0"/>
    <x v="1"/>
  </r>
  <r>
    <n v="14032"/>
    <x v="0"/>
    <x v="1"/>
    <n v="70000"/>
    <x v="1"/>
    <n v="2"/>
    <x v="2"/>
    <s v="Skilled Manual"/>
    <s v="No"/>
    <n v="2"/>
    <x v="3"/>
    <x v="1"/>
    <n v="50"/>
    <x v="2"/>
    <x v="1"/>
  </r>
  <r>
    <n v="22610"/>
    <x v="0"/>
    <x v="1"/>
    <n v="30000"/>
    <x v="0"/>
    <n v="0"/>
    <x v="0"/>
    <s v="Clerical"/>
    <s v="Yes"/>
    <n v="0"/>
    <x v="0"/>
    <x v="0"/>
    <n v="35"/>
    <x v="0"/>
    <x v="1"/>
  </r>
  <r>
    <n v="26984"/>
    <x v="0"/>
    <x v="1"/>
    <n v="40000"/>
    <x v="0"/>
    <n v="1"/>
    <x v="0"/>
    <s v="Skilled Manual"/>
    <s v="Yes"/>
    <n v="1"/>
    <x v="0"/>
    <x v="0"/>
    <n v="32"/>
    <x v="0"/>
    <x v="1"/>
  </r>
  <r>
    <n v="18294"/>
    <x v="0"/>
    <x v="0"/>
    <n v="90000"/>
    <x v="1"/>
    <n v="1"/>
    <x v="0"/>
    <s v="Professional"/>
    <s v="Yes"/>
    <n v="1"/>
    <x v="2"/>
    <x v="1"/>
    <n v="46"/>
    <x v="2"/>
    <x v="0"/>
  </r>
  <r>
    <n v="28564"/>
    <x v="1"/>
    <x v="0"/>
    <n v="40000"/>
    <x v="0"/>
    <n v="2"/>
    <x v="1"/>
    <s v="Clerical"/>
    <s v="Yes"/>
    <n v="0"/>
    <x v="3"/>
    <x v="0"/>
    <n v="33"/>
    <x v="0"/>
    <x v="1"/>
  </r>
  <r>
    <n v="28521"/>
    <x v="1"/>
    <x v="1"/>
    <n v="40000"/>
    <x v="0"/>
    <n v="0"/>
    <x v="4"/>
    <s v="Clerical"/>
    <s v="No"/>
    <n v="0"/>
    <x v="0"/>
    <x v="0"/>
    <n v="36"/>
    <x v="0"/>
    <x v="1"/>
  </r>
  <r>
    <n v="15450"/>
    <x v="0"/>
    <x v="1"/>
    <n v="10000"/>
    <x v="2"/>
    <n v="1"/>
    <x v="4"/>
    <s v="Clerical"/>
    <s v="Yes"/>
    <n v="0"/>
    <x v="0"/>
    <x v="0"/>
    <n v="70"/>
    <x v="1"/>
    <x v="0"/>
  </r>
  <r>
    <n v="25681"/>
    <x v="1"/>
    <x v="0"/>
    <n v="30000"/>
    <x v="0"/>
    <n v="0"/>
    <x v="1"/>
    <s v="Clerical"/>
    <s v="No"/>
    <n v="1"/>
    <x v="1"/>
    <x v="0"/>
    <n v="31"/>
    <x v="0"/>
    <x v="1"/>
  </r>
  <r>
    <n v="19491"/>
    <x v="1"/>
    <x v="1"/>
    <n v="30000"/>
    <x v="0"/>
    <n v="2"/>
    <x v="1"/>
    <s v="Clerical"/>
    <s v="Yes"/>
    <n v="2"/>
    <x v="0"/>
    <x v="0"/>
    <n v="42"/>
    <x v="0"/>
    <x v="0"/>
  </r>
  <r>
    <n v="26415"/>
    <x v="0"/>
    <x v="0"/>
    <n v="90000"/>
    <x v="1"/>
    <n v="4"/>
    <x v="3"/>
    <s v="Skilled Manual"/>
    <s v="Yes"/>
    <n v="4"/>
    <x v="4"/>
    <x v="0"/>
    <n v="58"/>
    <x v="2"/>
    <x v="0"/>
  </r>
  <r>
    <n v="12821"/>
    <x v="0"/>
    <x v="1"/>
    <n v="40000"/>
    <x v="0"/>
    <n v="0"/>
    <x v="0"/>
    <s v="Clerical"/>
    <s v="Yes"/>
    <n v="0"/>
    <x v="0"/>
    <x v="0"/>
    <n v="39"/>
    <x v="0"/>
    <x v="0"/>
  </r>
  <r>
    <n v="15629"/>
    <x v="1"/>
    <x v="0"/>
    <n v="10000"/>
    <x v="2"/>
    <n v="0"/>
    <x v="3"/>
    <s v="Manual"/>
    <s v="Yes"/>
    <n v="2"/>
    <x v="3"/>
    <x v="0"/>
    <n v="34"/>
    <x v="0"/>
    <x v="0"/>
  </r>
  <r>
    <n v="27835"/>
    <x v="0"/>
    <x v="1"/>
    <n v="20000"/>
    <x v="0"/>
    <n v="0"/>
    <x v="3"/>
    <s v="Manual"/>
    <s v="Yes"/>
    <n v="2"/>
    <x v="0"/>
    <x v="0"/>
    <n v="32"/>
    <x v="0"/>
    <x v="0"/>
  </r>
  <r>
    <n v="11738"/>
    <x v="0"/>
    <x v="1"/>
    <n v="60000"/>
    <x v="1"/>
    <n v="4"/>
    <x v="0"/>
    <s v="Professional"/>
    <s v="Yes"/>
    <n v="0"/>
    <x v="1"/>
    <x v="2"/>
    <n v="46"/>
    <x v="2"/>
    <x v="0"/>
  </r>
  <r>
    <n v="25065"/>
    <x v="0"/>
    <x v="1"/>
    <n v="70000"/>
    <x v="1"/>
    <n v="2"/>
    <x v="3"/>
    <s v="Skilled Manual"/>
    <s v="Yes"/>
    <n v="2"/>
    <x v="2"/>
    <x v="2"/>
    <n v="48"/>
    <x v="2"/>
    <x v="0"/>
  </r>
  <r>
    <n v="26238"/>
    <x v="1"/>
    <x v="0"/>
    <n v="40000"/>
    <x v="0"/>
    <n v="3"/>
    <x v="1"/>
    <s v="Clerical"/>
    <s v="Yes"/>
    <n v="1"/>
    <x v="3"/>
    <x v="2"/>
    <n v="31"/>
    <x v="0"/>
    <x v="1"/>
  </r>
  <r>
    <n v="23707"/>
    <x v="1"/>
    <x v="1"/>
    <n v="70000"/>
    <x v="1"/>
    <n v="5"/>
    <x v="0"/>
    <s v="Management"/>
    <s v="Yes"/>
    <n v="3"/>
    <x v="4"/>
    <x v="2"/>
    <n v="60"/>
    <x v="1"/>
    <x v="1"/>
  </r>
  <r>
    <n v="27650"/>
    <x v="0"/>
    <x v="1"/>
    <n v="70000"/>
    <x v="1"/>
    <n v="4"/>
    <x v="2"/>
    <s v="Professional"/>
    <s v="Yes"/>
    <n v="0"/>
    <x v="2"/>
    <x v="2"/>
    <n v="51"/>
    <x v="2"/>
    <x v="0"/>
  </r>
  <r>
    <n v="24981"/>
    <x v="0"/>
    <x v="1"/>
    <n v="60000"/>
    <x v="1"/>
    <n v="2"/>
    <x v="1"/>
    <s v="Professional"/>
    <s v="Yes"/>
    <n v="2"/>
    <x v="4"/>
    <x v="2"/>
    <n v="56"/>
    <x v="2"/>
    <x v="0"/>
  </r>
  <r>
    <n v="20678"/>
    <x v="1"/>
    <x v="0"/>
    <n v="60000"/>
    <x v="1"/>
    <n v="3"/>
    <x v="0"/>
    <s v="Skilled Manual"/>
    <s v="Yes"/>
    <n v="1"/>
    <x v="1"/>
    <x v="2"/>
    <n v="40"/>
    <x v="0"/>
    <x v="1"/>
  </r>
  <r>
    <n v="15302"/>
    <x v="1"/>
    <x v="0"/>
    <n v="70000"/>
    <x v="1"/>
    <n v="1"/>
    <x v="4"/>
    <s v="Professional"/>
    <s v="Yes"/>
    <n v="0"/>
    <x v="1"/>
    <x v="2"/>
    <n v="34"/>
    <x v="0"/>
    <x v="1"/>
  </r>
  <r>
    <n v="26012"/>
    <x v="0"/>
    <x v="1"/>
    <n v="80000"/>
    <x v="1"/>
    <n v="1"/>
    <x v="1"/>
    <s v="Skilled Manual"/>
    <s v="Yes"/>
    <n v="1"/>
    <x v="1"/>
    <x v="2"/>
    <n v="48"/>
    <x v="2"/>
    <x v="1"/>
  </r>
  <r>
    <n v="26575"/>
    <x v="1"/>
    <x v="0"/>
    <n v="40000"/>
    <x v="0"/>
    <n v="0"/>
    <x v="2"/>
    <s v="Skilled Manual"/>
    <s v="No"/>
    <n v="2"/>
    <x v="3"/>
    <x v="2"/>
    <n v="31"/>
    <x v="0"/>
    <x v="1"/>
  </r>
  <r>
    <n v="15559"/>
    <x v="0"/>
    <x v="1"/>
    <n v="60000"/>
    <x v="1"/>
    <n v="5"/>
    <x v="0"/>
    <s v="Professional"/>
    <s v="Yes"/>
    <n v="1"/>
    <x v="1"/>
    <x v="2"/>
    <n v="47"/>
    <x v="2"/>
    <x v="0"/>
  </r>
  <r>
    <n v="19235"/>
    <x v="0"/>
    <x v="0"/>
    <n v="50000"/>
    <x v="0"/>
    <n v="0"/>
    <x v="4"/>
    <s v="Skilled Manual"/>
    <s v="Yes"/>
    <n v="0"/>
    <x v="0"/>
    <x v="2"/>
    <n v="34"/>
    <x v="0"/>
    <x v="0"/>
  </r>
  <r>
    <n v="15275"/>
    <x v="0"/>
    <x v="1"/>
    <n v="40000"/>
    <x v="0"/>
    <n v="0"/>
    <x v="1"/>
    <s v="Skilled Manual"/>
    <s v="Yes"/>
    <n v="1"/>
    <x v="2"/>
    <x v="2"/>
    <n v="29"/>
    <x v="3"/>
    <x v="0"/>
  </r>
  <r>
    <n v="20339"/>
    <x v="0"/>
    <x v="0"/>
    <n v="130000"/>
    <x v="4"/>
    <n v="1"/>
    <x v="0"/>
    <s v="Management"/>
    <s v="Yes"/>
    <n v="4"/>
    <x v="1"/>
    <x v="2"/>
    <n v="44"/>
    <x v="0"/>
    <x v="1"/>
  </r>
  <r>
    <n v="25405"/>
    <x v="0"/>
    <x v="1"/>
    <n v="70000"/>
    <x v="1"/>
    <n v="2"/>
    <x v="0"/>
    <s v="Skilled Manual"/>
    <s v="Yes"/>
    <n v="1"/>
    <x v="1"/>
    <x v="2"/>
    <n v="38"/>
    <x v="0"/>
    <x v="1"/>
  </r>
  <r>
    <n v="15940"/>
    <x v="0"/>
    <x v="1"/>
    <n v="100000"/>
    <x v="4"/>
    <n v="4"/>
    <x v="1"/>
    <s v="Professional"/>
    <s v="Yes"/>
    <n v="4"/>
    <x v="0"/>
    <x v="2"/>
    <n v="40"/>
    <x v="0"/>
    <x v="0"/>
  </r>
  <r>
    <n v="25074"/>
    <x v="0"/>
    <x v="0"/>
    <n v="70000"/>
    <x v="1"/>
    <n v="4"/>
    <x v="0"/>
    <s v="Professional"/>
    <s v="Yes"/>
    <n v="2"/>
    <x v="1"/>
    <x v="2"/>
    <n v="42"/>
    <x v="0"/>
    <x v="1"/>
  </r>
  <r>
    <n v="24738"/>
    <x v="0"/>
    <x v="0"/>
    <n v="40000"/>
    <x v="0"/>
    <n v="1"/>
    <x v="1"/>
    <s v="Clerical"/>
    <s v="Yes"/>
    <n v="1"/>
    <x v="3"/>
    <x v="2"/>
    <n v="51"/>
    <x v="2"/>
    <x v="1"/>
  </r>
  <r>
    <n v="16337"/>
    <x v="0"/>
    <x v="1"/>
    <n v="60000"/>
    <x v="1"/>
    <n v="0"/>
    <x v="1"/>
    <s v="Skilled Manual"/>
    <s v="No"/>
    <n v="2"/>
    <x v="3"/>
    <x v="2"/>
    <n v="29"/>
    <x v="3"/>
    <x v="0"/>
  </r>
  <r>
    <n v="24357"/>
    <x v="0"/>
    <x v="1"/>
    <n v="80000"/>
    <x v="1"/>
    <n v="3"/>
    <x v="0"/>
    <s v="Professional"/>
    <s v="Yes"/>
    <n v="1"/>
    <x v="1"/>
    <x v="2"/>
    <n v="48"/>
    <x v="2"/>
    <x v="1"/>
  </r>
  <r>
    <n v="18613"/>
    <x v="1"/>
    <x v="1"/>
    <n v="70000"/>
    <x v="1"/>
    <n v="0"/>
    <x v="0"/>
    <s v="Professional"/>
    <s v="No"/>
    <n v="1"/>
    <x v="1"/>
    <x v="2"/>
    <n v="37"/>
    <x v="0"/>
    <x v="1"/>
  </r>
  <r>
    <n v="12207"/>
    <x v="1"/>
    <x v="1"/>
    <n v="80000"/>
    <x v="1"/>
    <n v="4"/>
    <x v="0"/>
    <s v="Management"/>
    <s v="Yes"/>
    <n v="0"/>
    <x v="2"/>
    <x v="2"/>
    <n v="66"/>
    <x v="1"/>
    <x v="1"/>
  </r>
  <r>
    <n v="18052"/>
    <x v="0"/>
    <x v="0"/>
    <n v="60000"/>
    <x v="1"/>
    <n v="1"/>
    <x v="1"/>
    <s v="Skilled Manual"/>
    <s v="Yes"/>
    <n v="1"/>
    <x v="0"/>
    <x v="2"/>
    <n v="45"/>
    <x v="2"/>
    <x v="1"/>
  </r>
  <r>
    <n v="13353"/>
    <x v="1"/>
    <x v="0"/>
    <n v="60000"/>
    <x v="1"/>
    <n v="4"/>
    <x v="4"/>
    <s v="Management"/>
    <s v="Yes"/>
    <n v="2"/>
    <x v="4"/>
    <x v="2"/>
    <n v="61"/>
    <x v="1"/>
    <x v="1"/>
  </r>
  <r>
    <n v="19399"/>
    <x v="1"/>
    <x v="1"/>
    <n v="40000"/>
    <x v="0"/>
    <n v="0"/>
    <x v="0"/>
    <s v="Professional"/>
    <s v="No"/>
    <n v="1"/>
    <x v="1"/>
    <x v="2"/>
    <n v="45"/>
    <x v="2"/>
    <x v="0"/>
  </r>
  <r>
    <n v="16154"/>
    <x v="0"/>
    <x v="0"/>
    <n v="70000"/>
    <x v="1"/>
    <n v="5"/>
    <x v="0"/>
    <s v="Professional"/>
    <s v="Yes"/>
    <n v="2"/>
    <x v="1"/>
    <x v="2"/>
    <n v="47"/>
    <x v="2"/>
    <x v="0"/>
  </r>
  <r>
    <n v="22219"/>
    <x v="0"/>
    <x v="0"/>
    <n v="60000"/>
    <x v="1"/>
    <n v="2"/>
    <x v="2"/>
    <s v="Professional"/>
    <s v="Yes"/>
    <n v="2"/>
    <x v="2"/>
    <x v="2"/>
    <n v="49"/>
    <x v="2"/>
    <x v="0"/>
  </r>
  <r>
    <n v="17269"/>
    <x v="1"/>
    <x v="1"/>
    <n v="60000"/>
    <x v="1"/>
    <n v="3"/>
    <x v="0"/>
    <s v="Professional"/>
    <s v="No"/>
    <n v="0"/>
    <x v="0"/>
    <x v="2"/>
    <n v="47"/>
    <x v="2"/>
    <x v="1"/>
  </r>
  <r>
    <n v="23586"/>
    <x v="0"/>
    <x v="0"/>
    <n v="80000"/>
    <x v="1"/>
    <n v="0"/>
    <x v="0"/>
    <s v="Management"/>
    <s v="Yes"/>
    <n v="1"/>
    <x v="3"/>
    <x v="2"/>
    <n v="34"/>
    <x v="0"/>
    <x v="1"/>
  </r>
  <r>
    <n v="15740"/>
    <x v="0"/>
    <x v="1"/>
    <n v="80000"/>
    <x v="1"/>
    <n v="5"/>
    <x v="0"/>
    <s v="Management"/>
    <s v="Yes"/>
    <n v="2"/>
    <x v="3"/>
    <x v="2"/>
    <n v="64"/>
    <x v="1"/>
    <x v="0"/>
  </r>
  <r>
    <n v="27638"/>
    <x v="1"/>
    <x v="1"/>
    <n v="100000"/>
    <x v="4"/>
    <n v="1"/>
    <x v="1"/>
    <s v="Professional"/>
    <s v="No"/>
    <n v="3"/>
    <x v="3"/>
    <x v="2"/>
    <n v="44"/>
    <x v="0"/>
    <x v="0"/>
  </r>
  <r>
    <n v="18976"/>
    <x v="1"/>
    <x v="1"/>
    <n v="40000"/>
    <x v="0"/>
    <n v="4"/>
    <x v="2"/>
    <s v="Professional"/>
    <s v="Yes"/>
    <n v="2"/>
    <x v="4"/>
    <x v="2"/>
    <n v="62"/>
    <x v="1"/>
    <x v="1"/>
  </r>
  <r>
    <n v="19413"/>
    <x v="1"/>
    <x v="1"/>
    <n v="60000"/>
    <x v="1"/>
    <n v="3"/>
    <x v="0"/>
    <s v="Professional"/>
    <s v="No"/>
    <n v="1"/>
    <x v="0"/>
    <x v="2"/>
    <n v="47"/>
    <x v="2"/>
    <x v="1"/>
  </r>
  <r>
    <n v="13283"/>
    <x v="0"/>
    <x v="1"/>
    <n v="80000"/>
    <x v="1"/>
    <n v="3"/>
    <x v="1"/>
    <s v="Professional"/>
    <s v="No"/>
    <n v="2"/>
    <x v="0"/>
    <x v="2"/>
    <n v="49"/>
    <x v="2"/>
    <x v="1"/>
  </r>
  <r>
    <n v="17471"/>
    <x v="1"/>
    <x v="0"/>
    <n v="80000"/>
    <x v="1"/>
    <n v="4"/>
    <x v="4"/>
    <s v="Management"/>
    <s v="Yes"/>
    <n v="2"/>
    <x v="2"/>
    <x v="2"/>
    <n v="67"/>
    <x v="1"/>
    <x v="0"/>
  </r>
  <r>
    <n v="16791"/>
    <x v="1"/>
    <x v="1"/>
    <n v="60000"/>
    <x v="1"/>
    <n v="5"/>
    <x v="0"/>
    <s v="Management"/>
    <s v="Yes"/>
    <n v="3"/>
    <x v="4"/>
    <x v="2"/>
    <n v="59"/>
    <x v="2"/>
    <x v="1"/>
  </r>
  <r>
    <n v="15382"/>
    <x v="0"/>
    <x v="0"/>
    <n v="110000"/>
    <x v="4"/>
    <n v="1"/>
    <x v="0"/>
    <s v="Management"/>
    <s v="Yes"/>
    <n v="2"/>
    <x v="3"/>
    <x v="2"/>
    <n v="44"/>
    <x v="0"/>
    <x v="0"/>
  </r>
  <r>
    <n v="11641"/>
    <x v="0"/>
    <x v="1"/>
    <n v="50000"/>
    <x v="0"/>
    <n v="1"/>
    <x v="0"/>
    <s v="Skilled Manual"/>
    <s v="Yes"/>
    <n v="0"/>
    <x v="0"/>
    <x v="2"/>
    <n v="36"/>
    <x v="0"/>
    <x v="0"/>
  </r>
  <r>
    <n v="11935"/>
    <x v="1"/>
    <x v="0"/>
    <n v="30000"/>
    <x v="0"/>
    <n v="0"/>
    <x v="1"/>
    <s v="Skilled Manual"/>
    <s v="Yes"/>
    <n v="1"/>
    <x v="2"/>
    <x v="2"/>
    <n v="28"/>
    <x v="3"/>
    <x v="0"/>
  </r>
  <r>
    <n v="13233"/>
    <x v="0"/>
    <x v="1"/>
    <n v="60000"/>
    <x v="1"/>
    <n v="2"/>
    <x v="1"/>
    <s v="Professional"/>
    <s v="Yes"/>
    <n v="1"/>
    <x v="4"/>
    <x v="2"/>
    <n v="57"/>
    <x v="2"/>
    <x v="1"/>
  </r>
  <r>
    <n v="25909"/>
    <x v="0"/>
    <x v="1"/>
    <n v="60000"/>
    <x v="1"/>
    <n v="0"/>
    <x v="1"/>
    <s v="Skilled Manual"/>
    <s v="Yes"/>
    <n v="1"/>
    <x v="2"/>
    <x v="2"/>
    <n v="27"/>
    <x v="3"/>
    <x v="1"/>
  </r>
  <r>
    <n v="14092"/>
    <x v="1"/>
    <x v="1"/>
    <n v="30000"/>
    <x v="0"/>
    <n v="0"/>
    <x v="3"/>
    <s v="Clerical"/>
    <s v="Yes"/>
    <n v="2"/>
    <x v="2"/>
    <x v="2"/>
    <n v="28"/>
    <x v="3"/>
    <x v="0"/>
  </r>
  <r>
    <n v="29143"/>
    <x v="1"/>
    <x v="0"/>
    <n v="60000"/>
    <x v="1"/>
    <n v="1"/>
    <x v="0"/>
    <s v="Professional"/>
    <s v="No"/>
    <n v="1"/>
    <x v="0"/>
    <x v="2"/>
    <n v="44"/>
    <x v="0"/>
    <x v="1"/>
  </r>
  <r>
    <n v="24941"/>
    <x v="0"/>
    <x v="1"/>
    <n v="60000"/>
    <x v="1"/>
    <n v="3"/>
    <x v="0"/>
    <s v="Management"/>
    <s v="Yes"/>
    <n v="2"/>
    <x v="4"/>
    <x v="2"/>
    <n v="66"/>
    <x v="1"/>
    <x v="0"/>
  </r>
  <r>
    <n v="24637"/>
    <x v="0"/>
    <x v="1"/>
    <n v="40000"/>
    <x v="0"/>
    <n v="4"/>
    <x v="2"/>
    <s v="Professional"/>
    <s v="Yes"/>
    <n v="2"/>
    <x v="4"/>
    <x v="2"/>
    <n v="64"/>
    <x v="1"/>
    <x v="0"/>
  </r>
  <r>
    <n v="23893"/>
    <x v="0"/>
    <x v="1"/>
    <n v="50000"/>
    <x v="0"/>
    <n v="3"/>
    <x v="0"/>
    <s v="Skilled Manual"/>
    <s v="Yes"/>
    <n v="3"/>
    <x v="4"/>
    <x v="2"/>
    <n v="41"/>
    <x v="0"/>
    <x v="0"/>
  </r>
  <r>
    <n v="13907"/>
    <x v="1"/>
    <x v="0"/>
    <n v="80000"/>
    <x v="1"/>
    <n v="3"/>
    <x v="0"/>
    <s v="Skilled Manual"/>
    <s v="Yes"/>
    <n v="1"/>
    <x v="0"/>
    <x v="2"/>
    <n v="41"/>
    <x v="0"/>
    <x v="1"/>
  </r>
  <r>
    <n v="14900"/>
    <x v="0"/>
    <x v="0"/>
    <n v="40000"/>
    <x v="0"/>
    <n v="1"/>
    <x v="1"/>
    <s v="Clerical"/>
    <s v="Yes"/>
    <n v="1"/>
    <x v="3"/>
    <x v="2"/>
    <n v="49"/>
    <x v="2"/>
    <x v="1"/>
  </r>
  <r>
    <n v="11262"/>
    <x v="0"/>
    <x v="0"/>
    <n v="80000"/>
    <x v="1"/>
    <n v="4"/>
    <x v="0"/>
    <s v="Management"/>
    <s v="Yes"/>
    <n v="0"/>
    <x v="0"/>
    <x v="2"/>
    <n v="42"/>
    <x v="0"/>
    <x v="0"/>
  </r>
  <r>
    <n v="22294"/>
    <x v="1"/>
    <x v="0"/>
    <n v="70000"/>
    <x v="1"/>
    <n v="0"/>
    <x v="0"/>
    <s v="Professional"/>
    <s v="No"/>
    <n v="1"/>
    <x v="1"/>
    <x v="2"/>
    <n v="37"/>
    <x v="0"/>
    <x v="1"/>
  </r>
  <r>
    <n v="12195"/>
    <x v="1"/>
    <x v="0"/>
    <n v="70000"/>
    <x v="1"/>
    <n v="3"/>
    <x v="4"/>
    <s v="Management"/>
    <s v="Yes"/>
    <n v="2"/>
    <x v="3"/>
    <x v="2"/>
    <n v="52"/>
    <x v="2"/>
    <x v="0"/>
  </r>
  <r>
    <n v="25375"/>
    <x v="0"/>
    <x v="1"/>
    <n v="50000"/>
    <x v="0"/>
    <n v="1"/>
    <x v="4"/>
    <s v="Skilled Manual"/>
    <s v="Yes"/>
    <n v="0"/>
    <x v="3"/>
    <x v="2"/>
    <n v="34"/>
    <x v="0"/>
    <x v="0"/>
  </r>
  <r>
    <n v="11143"/>
    <x v="0"/>
    <x v="1"/>
    <n v="40000"/>
    <x v="0"/>
    <n v="0"/>
    <x v="2"/>
    <s v="Skilled Manual"/>
    <s v="Yes"/>
    <n v="2"/>
    <x v="2"/>
    <x v="2"/>
    <n v="29"/>
    <x v="3"/>
    <x v="0"/>
  </r>
  <r>
    <n v="25898"/>
    <x v="0"/>
    <x v="0"/>
    <n v="70000"/>
    <x v="1"/>
    <n v="2"/>
    <x v="2"/>
    <s v="Professional"/>
    <s v="Yes"/>
    <n v="2"/>
    <x v="1"/>
    <x v="2"/>
    <n v="53"/>
    <x v="2"/>
    <x v="0"/>
  </r>
  <r>
    <n v="24397"/>
    <x v="1"/>
    <x v="1"/>
    <n v="120000"/>
    <x v="4"/>
    <n v="2"/>
    <x v="0"/>
    <s v="Management"/>
    <s v="No"/>
    <n v="4"/>
    <x v="3"/>
    <x v="2"/>
    <n v="40"/>
    <x v="0"/>
    <x v="0"/>
  </r>
  <r>
    <n v="19758"/>
    <x v="1"/>
    <x v="1"/>
    <n v="60000"/>
    <x v="1"/>
    <n v="0"/>
    <x v="1"/>
    <s v="Skilled Manual"/>
    <s v="No"/>
    <n v="2"/>
    <x v="3"/>
    <x v="2"/>
    <n v="29"/>
    <x v="3"/>
    <x v="0"/>
  </r>
  <r>
    <n v="15529"/>
    <x v="0"/>
    <x v="1"/>
    <n v="60000"/>
    <x v="1"/>
    <n v="4"/>
    <x v="0"/>
    <s v="Professional"/>
    <s v="Yes"/>
    <n v="2"/>
    <x v="1"/>
    <x v="2"/>
    <n v="43"/>
    <x v="0"/>
    <x v="1"/>
  </r>
  <r>
    <n v="19884"/>
    <x v="0"/>
    <x v="1"/>
    <n v="60000"/>
    <x v="1"/>
    <n v="2"/>
    <x v="2"/>
    <s v="Professional"/>
    <s v="Yes"/>
    <n v="2"/>
    <x v="1"/>
    <x v="2"/>
    <n v="55"/>
    <x v="2"/>
    <x v="1"/>
  </r>
  <r>
    <n v="18674"/>
    <x v="1"/>
    <x v="0"/>
    <n v="80000"/>
    <x v="1"/>
    <n v="4"/>
    <x v="4"/>
    <s v="Skilled Manual"/>
    <s v="No"/>
    <n v="0"/>
    <x v="0"/>
    <x v="2"/>
    <n v="48"/>
    <x v="2"/>
    <x v="0"/>
  </r>
  <r>
    <n v="13453"/>
    <x v="0"/>
    <x v="0"/>
    <n v="130000"/>
    <x v="4"/>
    <n v="3"/>
    <x v="0"/>
    <s v="Management"/>
    <s v="Yes"/>
    <n v="3"/>
    <x v="0"/>
    <x v="2"/>
    <n v="45"/>
    <x v="2"/>
    <x v="1"/>
  </r>
  <r>
    <n v="14063"/>
    <x v="1"/>
    <x v="0"/>
    <n v="70000"/>
    <x v="1"/>
    <n v="0"/>
    <x v="0"/>
    <s v="Professional"/>
    <s v="No"/>
    <n v="1"/>
    <x v="0"/>
    <x v="1"/>
    <n v="42"/>
    <x v="0"/>
    <x v="1"/>
  </r>
  <r>
    <n v="27393"/>
    <x v="0"/>
    <x v="0"/>
    <n v="50000"/>
    <x v="0"/>
    <n v="4"/>
    <x v="0"/>
    <s v="Management"/>
    <s v="Yes"/>
    <n v="2"/>
    <x v="4"/>
    <x v="2"/>
    <n v="63"/>
    <x v="1"/>
    <x v="0"/>
  </r>
  <r>
    <n v="14417"/>
    <x v="1"/>
    <x v="1"/>
    <n v="60000"/>
    <x v="1"/>
    <n v="3"/>
    <x v="2"/>
    <s v="Professional"/>
    <s v="Yes"/>
    <n v="2"/>
    <x v="4"/>
    <x v="2"/>
    <n v="54"/>
    <x v="2"/>
    <x v="1"/>
  </r>
  <r>
    <n v="17533"/>
    <x v="0"/>
    <x v="1"/>
    <n v="40000"/>
    <x v="0"/>
    <n v="3"/>
    <x v="1"/>
    <s v="Professional"/>
    <s v="No"/>
    <n v="2"/>
    <x v="2"/>
    <x v="2"/>
    <n v="73"/>
    <x v="1"/>
    <x v="1"/>
  </r>
  <r>
    <n v="18580"/>
    <x v="0"/>
    <x v="0"/>
    <n v="60000"/>
    <x v="1"/>
    <n v="2"/>
    <x v="4"/>
    <s v="Professional"/>
    <s v="Yes"/>
    <n v="0"/>
    <x v="1"/>
    <x v="2"/>
    <n v="40"/>
    <x v="0"/>
    <x v="1"/>
  </r>
  <r>
    <n v="17025"/>
    <x v="1"/>
    <x v="1"/>
    <n v="50000"/>
    <x v="0"/>
    <n v="0"/>
    <x v="1"/>
    <s v="Skilled Manual"/>
    <s v="No"/>
    <n v="1"/>
    <x v="1"/>
    <x v="2"/>
    <n v="39"/>
    <x v="0"/>
    <x v="1"/>
  </r>
  <r>
    <n v="25293"/>
    <x v="0"/>
    <x v="1"/>
    <n v="80000"/>
    <x v="1"/>
    <n v="4"/>
    <x v="0"/>
    <s v="Management"/>
    <s v="Yes"/>
    <n v="0"/>
    <x v="3"/>
    <x v="2"/>
    <n v="42"/>
    <x v="0"/>
    <x v="0"/>
  </r>
  <r>
    <n v="24725"/>
    <x v="0"/>
    <x v="0"/>
    <n v="40000"/>
    <x v="0"/>
    <n v="3"/>
    <x v="1"/>
    <s v="Clerical"/>
    <s v="Yes"/>
    <n v="0"/>
    <x v="3"/>
    <x v="2"/>
    <n v="31"/>
    <x v="0"/>
    <x v="0"/>
  </r>
  <r>
    <n v="23200"/>
    <x v="0"/>
    <x v="0"/>
    <n v="50000"/>
    <x v="0"/>
    <n v="3"/>
    <x v="0"/>
    <s v="Skilled Manual"/>
    <s v="Yes"/>
    <n v="2"/>
    <x v="0"/>
    <x v="2"/>
    <n v="41"/>
    <x v="0"/>
    <x v="0"/>
  </r>
  <r>
    <n v="15895"/>
    <x v="1"/>
    <x v="0"/>
    <n v="60000"/>
    <x v="1"/>
    <n v="2"/>
    <x v="0"/>
    <s v="Management"/>
    <s v="Yes"/>
    <n v="0"/>
    <x v="4"/>
    <x v="2"/>
    <n v="58"/>
    <x v="2"/>
    <x v="0"/>
  </r>
  <r>
    <n v="18577"/>
    <x v="0"/>
    <x v="0"/>
    <n v="60000"/>
    <x v="1"/>
    <n v="0"/>
    <x v="4"/>
    <s v="Professional"/>
    <s v="Yes"/>
    <n v="0"/>
    <x v="0"/>
    <x v="2"/>
    <n v="40"/>
    <x v="0"/>
    <x v="0"/>
  </r>
  <r>
    <n v="27218"/>
    <x v="0"/>
    <x v="0"/>
    <n v="20000"/>
    <x v="0"/>
    <n v="2"/>
    <x v="3"/>
    <s v="Clerical"/>
    <s v="No"/>
    <n v="0"/>
    <x v="0"/>
    <x v="2"/>
    <n v="48"/>
    <x v="2"/>
    <x v="0"/>
  </r>
  <r>
    <n v="18560"/>
    <x v="0"/>
    <x v="0"/>
    <n v="70000"/>
    <x v="1"/>
    <n v="2"/>
    <x v="4"/>
    <s v="Professional"/>
    <s v="Yes"/>
    <n v="0"/>
    <x v="1"/>
    <x v="2"/>
    <n v="34"/>
    <x v="0"/>
    <x v="1"/>
  </r>
  <r>
    <n v="25006"/>
    <x v="1"/>
    <x v="0"/>
    <n v="30000"/>
    <x v="0"/>
    <n v="0"/>
    <x v="1"/>
    <s v="Skilled Manual"/>
    <s v="Yes"/>
    <n v="1"/>
    <x v="2"/>
    <x v="2"/>
    <n v="28"/>
    <x v="3"/>
    <x v="0"/>
  </r>
  <r>
    <n v="17369"/>
    <x v="1"/>
    <x v="1"/>
    <n v="30000"/>
    <x v="0"/>
    <n v="0"/>
    <x v="1"/>
    <s v="Skilled Manual"/>
    <s v="Yes"/>
    <n v="1"/>
    <x v="2"/>
    <x v="2"/>
    <n v="27"/>
    <x v="3"/>
    <x v="0"/>
  </r>
  <r>
    <n v="14495"/>
    <x v="0"/>
    <x v="1"/>
    <n v="40000"/>
    <x v="0"/>
    <n v="3"/>
    <x v="1"/>
    <s v="Professional"/>
    <s v="No"/>
    <n v="2"/>
    <x v="2"/>
    <x v="2"/>
    <n v="54"/>
    <x v="2"/>
    <x v="1"/>
  </r>
  <r>
    <n v="18847"/>
    <x v="0"/>
    <x v="0"/>
    <n v="60000"/>
    <x v="1"/>
    <n v="2"/>
    <x v="4"/>
    <s v="Management"/>
    <s v="Yes"/>
    <n v="2"/>
    <x v="2"/>
    <x v="2"/>
    <n v="70"/>
    <x v="1"/>
    <x v="0"/>
  </r>
  <r>
    <n v="14754"/>
    <x v="0"/>
    <x v="1"/>
    <n v="40000"/>
    <x v="0"/>
    <n v="1"/>
    <x v="1"/>
    <s v="Clerical"/>
    <s v="Yes"/>
    <n v="1"/>
    <x v="3"/>
    <x v="2"/>
    <n v="48"/>
    <x v="2"/>
    <x v="1"/>
  </r>
  <r>
    <n v="23378"/>
    <x v="0"/>
    <x v="1"/>
    <n v="70000"/>
    <x v="1"/>
    <n v="1"/>
    <x v="1"/>
    <s v="Skilled Manual"/>
    <s v="Yes"/>
    <n v="1"/>
    <x v="1"/>
    <x v="2"/>
    <n v="44"/>
    <x v="0"/>
    <x v="1"/>
  </r>
  <r>
    <n v="26452"/>
    <x v="1"/>
    <x v="1"/>
    <n v="50000"/>
    <x v="0"/>
    <n v="3"/>
    <x v="4"/>
    <s v="Management"/>
    <s v="Yes"/>
    <n v="2"/>
    <x v="4"/>
    <x v="2"/>
    <n v="69"/>
    <x v="1"/>
    <x v="0"/>
  </r>
  <r>
    <n v="20370"/>
    <x v="0"/>
    <x v="1"/>
    <n v="70000"/>
    <x v="1"/>
    <n v="3"/>
    <x v="3"/>
    <s v="Skilled Manual"/>
    <s v="Yes"/>
    <n v="2"/>
    <x v="2"/>
    <x v="2"/>
    <n v="52"/>
    <x v="2"/>
    <x v="0"/>
  </r>
  <r>
    <n v="20528"/>
    <x v="0"/>
    <x v="1"/>
    <n v="40000"/>
    <x v="0"/>
    <n v="2"/>
    <x v="3"/>
    <s v="Skilled Manual"/>
    <s v="Yes"/>
    <n v="2"/>
    <x v="1"/>
    <x v="2"/>
    <n v="55"/>
    <x v="2"/>
    <x v="0"/>
  </r>
  <r>
    <n v="23549"/>
    <x v="1"/>
    <x v="1"/>
    <n v="30000"/>
    <x v="0"/>
    <n v="0"/>
    <x v="2"/>
    <s v="Skilled Manual"/>
    <s v="Yes"/>
    <n v="2"/>
    <x v="2"/>
    <x v="2"/>
    <n v="30"/>
    <x v="0"/>
    <x v="0"/>
  </r>
  <r>
    <n v="21751"/>
    <x v="0"/>
    <x v="1"/>
    <n v="60000"/>
    <x v="1"/>
    <n v="3"/>
    <x v="4"/>
    <s v="Management"/>
    <s v="Yes"/>
    <n v="2"/>
    <x v="3"/>
    <x v="2"/>
    <n v="63"/>
    <x v="1"/>
    <x v="0"/>
  </r>
  <r>
    <n v="21266"/>
    <x v="1"/>
    <x v="0"/>
    <n v="80000"/>
    <x v="1"/>
    <n v="0"/>
    <x v="0"/>
    <s v="Management"/>
    <s v="Yes"/>
    <n v="1"/>
    <x v="3"/>
    <x v="2"/>
    <n v="34"/>
    <x v="0"/>
    <x v="1"/>
  </r>
  <r>
    <n v="13388"/>
    <x v="1"/>
    <x v="1"/>
    <n v="60000"/>
    <x v="1"/>
    <n v="2"/>
    <x v="1"/>
    <s v="Professional"/>
    <s v="Yes"/>
    <n v="1"/>
    <x v="4"/>
    <x v="2"/>
    <n v="56"/>
    <x v="2"/>
    <x v="0"/>
  </r>
  <r>
    <n v="18752"/>
    <x v="1"/>
    <x v="0"/>
    <n v="40000"/>
    <x v="0"/>
    <n v="0"/>
    <x v="2"/>
    <s v="Skilled Manual"/>
    <s v="Yes"/>
    <n v="1"/>
    <x v="2"/>
    <x v="2"/>
    <n v="31"/>
    <x v="0"/>
    <x v="0"/>
  </r>
  <r>
    <n v="16917"/>
    <x v="0"/>
    <x v="1"/>
    <n v="120000"/>
    <x v="4"/>
    <n v="1"/>
    <x v="0"/>
    <s v="Management"/>
    <s v="Yes"/>
    <n v="4"/>
    <x v="0"/>
    <x v="2"/>
    <n v="38"/>
    <x v="0"/>
    <x v="0"/>
  </r>
  <r>
    <n v="15313"/>
    <x v="0"/>
    <x v="1"/>
    <n v="60000"/>
    <x v="1"/>
    <n v="4"/>
    <x v="0"/>
    <s v="Management"/>
    <s v="Yes"/>
    <n v="2"/>
    <x v="1"/>
    <x v="2"/>
    <n v="59"/>
    <x v="2"/>
    <x v="0"/>
  </r>
  <r>
    <n v="25329"/>
    <x v="1"/>
    <x v="0"/>
    <n v="40000"/>
    <x v="0"/>
    <n v="3"/>
    <x v="1"/>
    <s v="Clerical"/>
    <s v="No"/>
    <n v="2"/>
    <x v="0"/>
    <x v="2"/>
    <n v="32"/>
    <x v="0"/>
    <x v="0"/>
  </r>
  <r>
    <n v="20380"/>
    <x v="0"/>
    <x v="0"/>
    <n v="60000"/>
    <x v="1"/>
    <n v="3"/>
    <x v="4"/>
    <s v="Management"/>
    <s v="Yes"/>
    <n v="2"/>
    <x v="4"/>
    <x v="2"/>
    <n v="69"/>
    <x v="1"/>
    <x v="0"/>
  </r>
  <r>
    <n v="23089"/>
    <x v="0"/>
    <x v="1"/>
    <n v="40000"/>
    <x v="0"/>
    <n v="0"/>
    <x v="1"/>
    <s v="Skilled Manual"/>
    <s v="Yes"/>
    <n v="1"/>
    <x v="2"/>
    <x v="2"/>
    <n v="28"/>
    <x v="3"/>
    <x v="0"/>
  </r>
  <r>
    <n v="13749"/>
    <x v="0"/>
    <x v="1"/>
    <n v="80000"/>
    <x v="1"/>
    <n v="4"/>
    <x v="4"/>
    <s v="Skilled Manual"/>
    <s v="Yes"/>
    <n v="0"/>
    <x v="3"/>
    <x v="2"/>
    <n v="47"/>
    <x v="2"/>
    <x v="0"/>
  </r>
  <r>
    <n v="24943"/>
    <x v="0"/>
    <x v="1"/>
    <n v="60000"/>
    <x v="1"/>
    <n v="3"/>
    <x v="0"/>
    <s v="Management"/>
    <s v="Yes"/>
    <n v="2"/>
    <x v="4"/>
    <x v="2"/>
    <n v="66"/>
    <x v="1"/>
    <x v="0"/>
  </r>
  <r>
    <n v="28667"/>
    <x v="1"/>
    <x v="1"/>
    <n v="70000"/>
    <x v="1"/>
    <n v="2"/>
    <x v="0"/>
    <s v="Skilled Manual"/>
    <s v="No"/>
    <n v="1"/>
    <x v="0"/>
    <x v="2"/>
    <n v="37"/>
    <x v="0"/>
    <x v="1"/>
  </r>
  <r>
    <n v="15194"/>
    <x v="1"/>
    <x v="1"/>
    <n v="120000"/>
    <x v="4"/>
    <n v="2"/>
    <x v="0"/>
    <s v="Management"/>
    <s v="No"/>
    <n v="3"/>
    <x v="0"/>
    <x v="2"/>
    <n v="39"/>
    <x v="0"/>
    <x v="1"/>
  </r>
  <r>
    <n v="17436"/>
    <x v="0"/>
    <x v="1"/>
    <n v="60000"/>
    <x v="1"/>
    <n v="2"/>
    <x v="2"/>
    <s v="Professional"/>
    <s v="No"/>
    <n v="2"/>
    <x v="3"/>
    <x v="2"/>
    <n v="51"/>
    <x v="2"/>
    <x v="0"/>
  </r>
  <r>
    <n v="18935"/>
    <x v="0"/>
    <x v="0"/>
    <n v="130000"/>
    <x v="4"/>
    <n v="0"/>
    <x v="4"/>
    <s v="Management"/>
    <s v="Yes"/>
    <n v="3"/>
    <x v="3"/>
    <x v="2"/>
    <n v="40"/>
    <x v="0"/>
    <x v="0"/>
  </r>
  <r>
    <n v="16871"/>
    <x v="0"/>
    <x v="0"/>
    <n v="90000"/>
    <x v="1"/>
    <n v="2"/>
    <x v="2"/>
    <s v="Professional"/>
    <s v="Yes"/>
    <n v="1"/>
    <x v="4"/>
    <x v="2"/>
    <n v="51"/>
    <x v="2"/>
    <x v="1"/>
  </r>
  <r>
    <n v="12100"/>
    <x v="1"/>
    <x v="1"/>
    <n v="60000"/>
    <x v="1"/>
    <n v="2"/>
    <x v="0"/>
    <s v="Management"/>
    <s v="Yes"/>
    <n v="0"/>
    <x v="4"/>
    <x v="2"/>
    <n v="57"/>
    <x v="2"/>
    <x v="0"/>
  </r>
  <r>
    <n v="23158"/>
    <x v="0"/>
    <x v="0"/>
    <n v="60000"/>
    <x v="1"/>
    <n v="1"/>
    <x v="4"/>
    <s v="Professional"/>
    <s v="No"/>
    <n v="0"/>
    <x v="0"/>
    <x v="2"/>
    <n v="35"/>
    <x v="0"/>
    <x v="1"/>
  </r>
  <r>
    <n v="18545"/>
    <x v="0"/>
    <x v="1"/>
    <n v="40000"/>
    <x v="0"/>
    <n v="4"/>
    <x v="2"/>
    <s v="Professional"/>
    <s v="No"/>
    <n v="2"/>
    <x v="4"/>
    <x v="2"/>
    <n v="61"/>
    <x v="1"/>
    <x v="1"/>
  </r>
  <r>
    <n v="18391"/>
    <x v="1"/>
    <x v="0"/>
    <n v="80000"/>
    <x v="1"/>
    <n v="5"/>
    <x v="1"/>
    <s v="Professional"/>
    <s v="Yes"/>
    <n v="2"/>
    <x v="2"/>
    <x v="2"/>
    <n v="44"/>
    <x v="0"/>
    <x v="0"/>
  </r>
  <r>
    <n v="19812"/>
    <x v="1"/>
    <x v="0"/>
    <n v="70000"/>
    <x v="1"/>
    <n v="2"/>
    <x v="1"/>
    <s v="Professional"/>
    <s v="Yes"/>
    <n v="0"/>
    <x v="2"/>
    <x v="2"/>
    <n v="49"/>
    <x v="2"/>
    <x v="1"/>
  </r>
  <r>
    <n v="27660"/>
    <x v="0"/>
    <x v="1"/>
    <n v="80000"/>
    <x v="1"/>
    <n v="4"/>
    <x v="4"/>
    <s v="Management"/>
    <s v="Yes"/>
    <n v="2"/>
    <x v="2"/>
    <x v="2"/>
    <n v="70"/>
    <x v="1"/>
    <x v="0"/>
  </r>
  <r>
    <n v="18058"/>
    <x v="1"/>
    <x v="0"/>
    <n v="20000"/>
    <x v="0"/>
    <n v="3"/>
    <x v="2"/>
    <s v="Skilled Manual"/>
    <s v="Yes"/>
    <n v="2"/>
    <x v="1"/>
    <x v="2"/>
    <n v="78"/>
    <x v="1"/>
    <x v="0"/>
  </r>
  <r>
    <n v="20343"/>
    <x v="0"/>
    <x v="0"/>
    <n v="90000"/>
    <x v="1"/>
    <n v="4"/>
    <x v="1"/>
    <s v="Professional"/>
    <s v="Yes"/>
    <n v="1"/>
    <x v="3"/>
    <x v="2"/>
    <n v="45"/>
    <x v="2"/>
    <x v="0"/>
  </r>
  <r>
    <n v="28997"/>
    <x v="1"/>
    <x v="1"/>
    <n v="40000"/>
    <x v="0"/>
    <n v="2"/>
    <x v="2"/>
    <s v="Professional"/>
    <s v="No"/>
    <n v="1"/>
    <x v="1"/>
    <x v="2"/>
    <n v="58"/>
    <x v="2"/>
    <x v="1"/>
  </r>
  <r>
    <n v="24398"/>
    <x v="0"/>
    <x v="1"/>
    <n v="130000"/>
    <x v="4"/>
    <n v="1"/>
    <x v="4"/>
    <s v="Management"/>
    <s v="Yes"/>
    <n v="4"/>
    <x v="0"/>
    <x v="2"/>
    <n v="41"/>
    <x v="0"/>
    <x v="0"/>
  </r>
  <r>
    <n v="19002"/>
    <x v="0"/>
    <x v="0"/>
    <n v="60000"/>
    <x v="1"/>
    <n v="2"/>
    <x v="1"/>
    <s v="Professional"/>
    <s v="Yes"/>
    <n v="1"/>
    <x v="1"/>
    <x v="2"/>
    <n v="57"/>
    <x v="2"/>
    <x v="1"/>
  </r>
  <r>
    <n v="28609"/>
    <x v="0"/>
    <x v="1"/>
    <n v="30000"/>
    <x v="0"/>
    <n v="2"/>
    <x v="2"/>
    <s v="Skilled Manual"/>
    <s v="No"/>
    <n v="2"/>
    <x v="0"/>
    <x v="2"/>
    <n v="49"/>
    <x v="2"/>
    <x v="0"/>
  </r>
  <r>
    <n v="29231"/>
    <x v="1"/>
    <x v="1"/>
    <n v="80000"/>
    <x v="1"/>
    <n v="4"/>
    <x v="1"/>
    <s v="Professional"/>
    <s v="No"/>
    <n v="2"/>
    <x v="0"/>
    <x v="2"/>
    <n v="43"/>
    <x v="0"/>
    <x v="0"/>
  </r>
  <r>
    <n v="18858"/>
    <x v="1"/>
    <x v="1"/>
    <n v="60000"/>
    <x v="1"/>
    <n v="2"/>
    <x v="3"/>
    <s v="Skilled Manual"/>
    <s v="Yes"/>
    <n v="2"/>
    <x v="2"/>
    <x v="2"/>
    <n v="52"/>
    <x v="2"/>
    <x v="1"/>
  </r>
  <r>
    <n v="20000"/>
    <x v="0"/>
    <x v="1"/>
    <n v="60000"/>
    <x v="1"/>
    <n v="1"/>
    <x v="4"/>
    <s v="Professional"/>
    <s v="Yes"/>
    <n v="0"/>
    <x v="0"/>
    <x v="2"/>
    <n v="35"/>
    <x v="0"/>
    <x v="1"/>
  </r>
  <r>
    <n v="25261"/>
    <x v="0"/>
    <x v="1"/>
    <n v="40000"/>
    <x v="0"/>
    <n v="0"/>
    <x v="2"/>
    <s v="Skilled Manual"/>
    <s v="Yes"/>
    <n v="2"/>
    <x v="2"/>
    <x v="2"/>
    <n v="27"/>
    <x v="3"/>
    <x v="0"/>
  </r>
  <r>
    <n v="17458"/>
    <x v="1"/>
    <x v="1"/>
    <n v="70000"/>
    <x v="1"/>
    <n v="3"/>
    <x v="2"/>
    <s v="Professional"/>
    <s v="Yes"/>
    <n v="0"/>
    <x v="2"/>
    <x v="2"/>
    <n v="52"/>
    <x v="2"/>
    <x v="1"/>
  </r>
  <r>
    <n v="11644"/>
    <x v="1"/>
    <x v="1"/>
    <n v="40000"/>
    <x v="0"/>
    <n v="2"/>
    <x v="0"/>
    <s v="Skilled Manual"/>
    <s v="Yes"/>
    <n v="0"/>
    <x v="1"/>
    <x v="2"/>
    <n v="36"/>
    <x v="0"/>
    <x v="0"/>
  </r>
  <r>
    <n v="16145"/>
    <x v="1"/>
    <x v="0"/>
    <n v="70000"/>
    <x v="1"/>
    <n v="5"/>
    <x v="4"/>
    <s v="Professional"/>
    <s v="Yes"/>
    <n v="3"/>
    <x v="4"/>
    <x v="2"/>
    <n v="46"/>
    <x v="2"/>
    <x v="1"/>
  </r>
  <r>
    <n v="16890"/>
    <x v="0"/>
    <x v="1"/>
    <n v="60000"/>
    <x v="1"/>
    <n v="3"/>
    <x v="3"/>
    <s v="Skilled Manual"/>
    <s v="Yes"/>
    <n v="2"/>
    <x v="2"/>
    <x v="2"/>
    <n v="52"/>
    <x v="2"/>
    <x v="1"/>
  </r>
  <r>
    <n v="25983"/>
    <x v="0"/>
    <x v="1"/>
    <n v="70000"/>
    <x v="1"/>
    <n v="0"/>
    <x v="0"/>
    <s v="Professional"/>
    <s v="No"/>
    <n v="1"/>
    <x v="0"/>
    <x v="2"/>
    <n v="43"/>
    <x v="0"/>
    <x v="0"/>
  </r>
  <r>
    <n v="14633"/>
    <x v="0"/>
    <x v="1"/>
    <n v="60000"/>
    <x v="1"/>
    <n v="1"/>
    <x v="1"/>
    <s v="Skilled Manual"/>
    <s v="Yes"/>
    <n v="1"/>
    <x v="1"/>
    <x v="2"/>
    <n v="44"/>
    <x v="0"/>
    <x v="0"/>
  </r>
  <r>
    <n v="22994"/>
    <x v="0"/>
    <x v="0"/>
    <n v="80000"/>
    <x v="1"/>
    <n v="0"/>
    <x v="0"/>
    <s v="Management"/>
    <s v="Yes"/>
    <n v="1"/>
    <x v="3"/>
    <x v="2"/>
    <n v="34"/>
    <x v="0"/>
    <x v="1"/>
  </r>
  <r>
    <n v="22983"/>
    <x v="1"/>
    <x v="0"/>
    <n v="30000"/>
    <x v="0"/>
    <n v="0"/>
    <x v="3"/>
    <s v="Clerical"/>
    <s v="Yes"/>
    <n v="2"/>
    <x v="2"/>
    <x v="2"/>
    <n v="27"/>
    <x v="3"/>
    <x v="0"/>
  </r>
  <r>
    <n v="25184"/>
    <x v="1"/>
    <x v="1"/>
    <n v="110000"/>
    <x v="4"/>
    <n v="1"/>
    <x v="1"/>
    <s v="Professional"/>
    <s v="Yes"/>
    <n v="4"/>
    <x v="2"/>
    <x v="2"/>
    <n v="45"/>
    <x v="2"/>
    <x v="1"/>
  </r>
  <r>
    <n v="14469"/>
    <x v="0"/>
    <x v="0"/>
    <n v="100000"/>
    <x v="4"/>
    <n v="3"/>
    <x v="1"/>
    <s v="Professional"/>
    <s v="Yes"/>
    <n v="4"/>
    <x v="3"/>
    <x v="2"/>
    <n v="45"/>
    <x v="2"/>
    <x v="0"/>
  </r>
  <r>
    <n v="11538"/>
    <x v="1"/>
    <x v="0"/>
    <n v="60000"/>
    <x v="1"/>
    <n v="4"/>
    <x v="4"/>
    <s v="Skilled Manual"/>
    <s v="No"/>
    <n v="0"/>
    <x v="0"/>
    <x v="2"/>
    <n v="47"/>
    <x v="2"/>
    <x v="1"/>
  </r>
  <r>
    <n v="16245"/>
    <x v="1"/>
    <x v="0"/>
    <n v="80000"/>
    <x v="1"/>
    <n v="4"/>
    <x v="4"/>
    <s v="Skilled Manual"/>
    <s v="Yes"/>
    <n v="0"/>
    <x v="3"/>
    <x v="2"/>
    <n v="47"/>
    <x v="2"/>
    <x v="0"/>
  </r>
  <r>
    <n v="17858"/>
    <x v="0"/>
    <x v="1"/>
    <n v="40000"/>
    <x v="0"/>
    <n v="4"/>
    <x v="2"/>
    <s v="Skilled Manual"/>
    <s v="Yes"/>
    <n v="2"/>
    <x v="1"/>
    <x v="2"/>
    <n v="44"/>
    <x v="0"/>
    <x v="1"/>
  </r>
  <r>
    <n v="25347"/>
    <x v="1"/>
    <x v="0"/>
    <n v="20000"/>
    <x v="0"/>
    <n v="3"/>
    <x v="3"/>
    <s v="Clerical"/>
    <s v="No"/>
    <n v="2"/>
    <x v="0"/>
    <x v="2"/>
    <n v="49"/>
    <x v="2"/>
    <x v="0"/>
  </r>
  <r>
    <n v="15814"/>
    <x v="1"/>
    <x v="0"/>
    <n v="40000"/>
    <x v="0"/>
    <n v="0"/>
    <x v="2"/>
    <s v="Skilled Manual"/>
    <s v="Yes"/>
    <n v="1"/>
    <x v="2"/>
    <x v="2"/>
    <n v="30"/>
    <x v="0"/>
    <x v="0"/>
  </r>
  <r>
    <n v="11259"/>
    <x v="0"/>
    <x v="0"/>
    <n v="100000"/>
    <x v="4"/>
    <n v="4"/>
    <x v="1"/>
    <s v="Professional"/>
    <s v="Yes"/>
    <n v="4"/>
    <x v="1"/>
    <x v="2"/>
    <n v="41"/>
    <x v="0"/>
    <x v="1"/>
  </r>
  <r>
    <n v="11200"/>
    <x v="0"/>
    <x v="1"/>
    <n v="70000"/>
    <x v="1"/>
    <n v="4"/>
    <x v="0"/>
    <s v="Management"/>
    <s v="Yes"/>
    <n v="1"/>
    <x v="3"/>
    <x v="2"/>
    <n v="58"/>
    <x v="2"/>
    <x v="0"/>
  </r>
  <r>
    <n v="25101"/>
    <x v="0"/>
    <x v="1"/>
    <n v="60000"/>
    <x v="1"/>
    <n v="5"/>
    <x v="0"/>
    <s v="Professional"/>
    <s v="Yes"/>
    <n v="1"/>
    <x v="1"/>
    <x v="2"/>
    <n v="47"/>
    <x v="2"/>
    <x v="0"/>
  </r>
  <r>
    <n v="21801"/>
    <x v="0"/>
    <x v="0"/>
    <n v="70000"/>
    <x v="1"/>
    <n v="4"/>
    <x v="1"/>
    <s v="Professional"/>
    <s v="Yes"/>
    <n v="1"/>
    <x v="3"/>
    <x v="2"/>
    <n v="55"/>
    <x v="2"/>
    <x v="0"/>
  </r>
  <r>
    <n v="25943"/>
    <x v="1"/>
    <x v="0"/>
    <n v="70000"/>
    <x v="1"/>
    <n v="0"/>
    <x v="1"/>
    <s v="Skilled Manual"/>
    <s v="No"/>
    <n v="2"/>
    <x v="0"/>
    <x v="2"/>
    <n v="27"/>
    <x v="3"/>
    <x v="1"/>
  </r>
  <r>
    <n v="22127"/>
    <x v="0"/>
    <x v="1"/>
    <n v="60000"/>
    <x v="1"/>
    <n v="3"/>
    <x v="4"/>
    <s v="Management"/>
    <s v="Yes"/>
    <n v="2"/>
    <x v="3"/>
    <x v="2"/>
    <n v="67"/>
    <x v="1"/>
    <x v="0"/>
  </r>
  <r>
    <n v="20414"/>
    <x v="0"/>
    <x v="0"/>
    <n v="60000"/>
    <x v="1"/>
    <n v="0"/>
    <x v="1"/>
    <s v="Skilled Manual"/>
    <s v="Yes"/>
    <n v="2"/>
    <x v="2"/>
    <x v="2"/>
    <n v="29"/>
    <x v="3"/>
    <x v="0"/>
  </r>
  <r>
    <n v="23672"/>
    <x v="0"/>
    <x v="0"/>
    <n v="60000"/>
    <x v="1"/>
    <n v="3"/>
    <x v="4"/>
    <s v="Management"/>
    <s v="Yes"/>
    <n v="2"/>
    <x v="3"/>
    <x v="2"/>
    <n v="67"/>
    <x v="1"/>
    <x v="0"/>
  </r>
  <r>
    <n v="29255"/>
    <x v="1"/>
    <x v="1"/>
    <n v="80000"/>
    <x v="1"/>
    <n v="3"/>
    <x v="1"/>
    <s v="Professional"/>
    <s v="No"/>
    <n v="1"/>
    <x v="3"/>
    <x v="2"/>
    <n v="51"/>
    <x v="2"/>
    <x v="1"/>
  </r>
  <r>
    <n v="28815"/>
    <x v="0"/>
    <x v="0"/>
    <n v="50000"/>
    <x v="0"/>
    <n v="1"/>
    <x v="4"/>
    <s v="Skilled Manual"/>
    <s v="Yes"/>
    <n v="0"/>
    <x v="0"/>
    <x v="2"/>
    <n v="35"/>
    <x v="0"/>
    <x v="0"/>
  </r>
  <r>
    <n v="27753"/>
    <x v="0"/>
    <x v="1"/>
    <n v="40000"/>
    <x v="0"/>
    <n v="0"/>
    <x v="2"/>
    <s v="Skilled Manual"/>
    <s v="No"/>
    <n v="2"/>
    <x v="3"/>
    <x v="2"/>
    <n v="30"/>
    <x v="0"/>
    <x v="0"/>
  </r>
  <r>
    <n v="27643"/>
    <x v="1"/>
    <x v="1"/>
    <n v="70000"/>
    <x v="1"/>
    <n v="5"/>
    <x v="1"/>
    <s v="Professional"/>
    <s v="Yes"/>
    <n v="3"/>
    <x v="1"/>
    <x v="2"/>
    <n v="44"/>
    <x v="0"/>
    <x v="0"/>
  </r>
  <r>
    <n v="13754"/>
    <x v="1"/>
    <x v="0"/>
    <n v="80000"/>
    <x v="1"/>
    <n v="4"/>
    <x v="4"/>
    <s v="Skilled Manual"/>
    <s v="Yes"/>
    <n v="0"/>
    <x v="3"/>
    <x v="2"/>
    <n v="48"/>
    <x v="2"/>
    <x v="0"/>
  </r>
  <r>
    <n v="22088"/>
    <x v="0"/>
    <x v="0"/>
    <n v="130000"/>
    <x v="4"/>
    <n v="1"/>
    <x v="0"/>
    <s v="Management"/>
    <s v="Yes"/>
    <n v="2"/>
    <x v="0"/>
    <x v="2"/>
    <n v="45"/>
    <x v="2"/>
    <x v="1"/>
  </r>
  <r>
    <n v="27388"/>
    <x v="0"/>
    <x v="1"/>
    <n v="60000"/>
    <x v="1"/>
    <n v="3"/>
    <x v="0"/>
    <s v="Management"/>
    <s v="No"/>
    <n v="2"/>
    <x v="3"/>
    <x v="2"/>
    <n v="66"/>
    <x v="1"/>
    <x v="0"/>
  </r>
  <r>
    <n v="24745"/>
    <x v="1"/>
    <x v="0"/>
    <n v="30000"/>
    <x v="0"/>
    <n v="2"/>
    <x v="2"/>
    <s v="Skilled Manual"/>
    <s v="No"/>
    <n v="2"/>
    <x v="0"/>
    <x v="2"/>
    <n v="49"/>
    <x v="2"/>
    <x v="0"/>
  </r>
  <r>
    <n v="29237"/>
    <x v="1"/>
    <x v="0"/>
    <n v="120000"/>
    <x v="4"/>
    <n v="4"/>
    <x v="1"/>
    <s v="Professional"/>
    <s v="Yes"/>
    <n v="3"/>
    <x v="2"/>
    <x v="2"/>
    <n v="43"/>
    <x v="0"/>
    <x v="1"/>
  </r>
  <r>
    <n v="15272"/>
    <x v="1"/>
    <x v="1"/>
    <n v="40000"/>
    <x v="0"/>
    <n v="0"/>
    <x v="2"/>
    <s v="Skilled Manual"/>
    <s v="No"/>
    <n v="2"/>
    <x v="3"/>
    <x v="2"/>
    <n v="30"/>
    <x v="0"/>
    <x v="0"/>
  </r>
  <r>
    <n v="18949"/>
    <x v="1"/>
    <x v="1"/>
    <n v="70000"/>
    <x v="1"/>
    <n v="0"/>
    <x v="4"/>
    <s v="Management"/>
    <s v="Yes"/>
    <n v="2"/>
    <x v="2"/>
    <x v="2"/>
    <n v="74"/>
    <x v="1"/>
    <x v="1"/>
  </r>
  <r>
    <n v="14507"/>
    <x v="0"/>
    <x v="1"/>
    <n v="100000"/>
    <x v="4"/>
    <n v="2"/>
    <x v="4"/>
    <s v="Management"/>
    <s v="Yes"/>
    <n v="3"/>
    <x v="3"/>
    <x v="2"/>
    <n v="65"/>
    <x v="1"/>
    <x v="0"/>
  </r>
  <r>
    <n v="25886"/>
    <x v="0"/>
    <x v="0"/>
    <n v="60000"/>
    <x v="1"/>
    <n v="2"/>
    <x v="1"/>
    <s v="Professional"/>
    <s v="Yes"/>
    <n v="2"/>
    <x v="1"/>
    <x v="2"/>
    <n v="56"/>
    <x v="2"/>
    <x v="1"/>
  </r>
  <r>
    <n v="21441"/>
    <x v="0"/>
    <x v="1"/>
    <n v="50000"/>
    <x v="0"/>
    <n v="4"/>
    <x v="0"/>
    <s v="Management"/>
    <s v="Yes"/>
    <n v="2"/>
    <x v="4"/>
    <x v="2"/>
    <n v="64"/>
    <x v="1"/>
    <x v="0"/>
  </r>
  <r>
    <n v="21741"/>
    <x v="0"/>
    <x v="0"/>
    <n v="70000"/>
    <x v="1"/>
    <n v="3"/>
    <x v="1"/>
    <s v="Professional"/>
    <s v="Yes"/>
    <n v="2"/>
    <x v="2"/>
    <x v="2"/>
    <n v="50"/>
    <x v="2"/>
    <x v="1"/>
  </r>
  <r>
    <n v="14572"/>
    <x v="0"/>
    <x v="0"/>
    <n v="70000"/>
    <x v="1"/>
    <n v="3"/>
    <x v="4"/>
    <s v="Professional"/>
    <s v="Yes"/>
    <n v="0"/>
    <x v="1"/>
    <x v="2"/>
    <n v="35"/>
    <x v="0"/>
    <x v="1"/>
  </r>
  <r>
    <n v="23368"/>
    <x v="0"/>
    <x v="0"/>
    <n v="60000"/>
    <x v="1"/>
    <n v="5"/>
    <x v="0"/>
    <s v="Skilled Manual"/>
    <s v="Yes"/>
    <n v="3"/>
    <x v="4"/>
    <x v="2"/>
    <n v="41"/>
    <x v="0"/>
    <x v="0"/>
  </r>
  <r>
    <n v="16217"/>
    <x v="1"/>
    <x v="0"/>
    <n v="60000"/>
    <x v="1"/>
    <n v="0"/>
    <x v="4"/>
    <s v="Skilled Manual"/>
    <s v="Yes"/>
    <n v="0"/>
    <x v="0"/>
    <x v="2"/>
    <n v="39"/>
    <x v="0"/>
    <x v="0"/>
  </r>
  <r>
    <n v="16247"/>
    <x v="1"/>
    <x v="0"/>
    <n v="60000"/>
    <x v="1"/>
    <n v="4"/>
    <x v="4"/>
    <s v="Skilled Manual"/>
    <s v="No"/>
    <n v="0"/>
    <x v="3"/>
    <x v="2"/>
    <n v="47"/>
    <x v="2"/>
    <x v="0"/>
  </r>
  <r>
    <n v="22010"/>
    <x v="1"/>
    <x v="1"/>
    <n v="40000"/>
    <x v="0"/>
    <n v="0"/>
    <x v="2"/>
    <s v="Skilled Manual"/>
    <s v="Yes"/>
    <n v="2"/>
    <x v="2"/>
    <x v="2"/>
    <n v="31"/>
    <x v="0"/>
    <x v="0"/>
  </r>
  <r>
    <n v="25872"/>
    <x v="1"/>
    <x v="0"/>
    <n v="70000"/>
    <x v="1"/>
    <n v="2"/>
    <x v="0"/>
    <s v="Management"/>
    <s v="No"/>
    <n v="1"/>
    <x v="1"/>
    <x v="2"/>
    <n v="58"/>
    <x v="2"/>
    <x v="1"/>
  </r>
  <r>
    <n v="19164"/>
    <x v="1"/>
    <x v="0"/>
    <n v="70000"/>
    <x v="1"/>
    <n v="0"/>
    <x v="0"/>
    <s v="Professional"/>
    <s v="No"/>
    <n v="1"/>
    <x v="1"/>
    <x v="2"/>
    <n v="38"/>
    <x v="0"/>
    <x v="1"/>
  </r>
  <r>
    <n v="18435"/>
    <x v="1"/>
    <x v="0"/>
    <n v="70000"/>
    <x v="1"/>
    <n v="5"/>
    <x v="4"/>
    <s v="Management"/>
    <s v="Yes"/>
    <n v="2"/>
    <x v="4"/>
    <x v="2"/>
    <n v="67"/>
    <x v="1"/>
    <x v="1"/>
  </r>
  <r>
    <n v="14284"/>
    <x v="1"/>
    <x v="1"/>
    <n v="60000"/>
    <x v="1"/>
    <n v="0"/>
    <x v="1"/>
    <s v="Professional"/>
    <s v="No"/>
    <n v="2"/>
    <x v="3"/>
    <x v="2"/>
    <n v="32"/>
    <x v="0"/>
    <x v="1"/>
  </r>
  <r>
    <n v="11287"/>
    <x v="0"/>
    <x v="1"/>
    <n v="70000"/>
    <x v="1"/>
    <n v="5"/>
    <x v="1"/>
    <s v="Professional"/>
    <s v="No"/>
    <n v="3"/>
    <x v="2"/>
    <x v="2"/>
    <n v="45"/>
    <x v="2"/>
    <x v="0"/>
  </r>
  <r>
    <n v="13066"/>
    <x v="1"/>
    <x v="1"/>
    <n v="30000"/>
    <x v="0"/>
    <n v="0"/>
    <x v="2"/>
    <s v="Skilled Manual"/>
    <s v="No"/>
    <n v="2"/>
    <x v="3"/>
    <x v="2"/>
    <n v="31"/>
    <x v="0"/>
    <x v="1"/>
  </r>
  <r>
    <n v="29106"/>
    <x v="1"/>
    <x v="1"/>
    <n v="40000"/>
    <x v="0"/>
    <n v="0"/>
    <x v="2"/>
    <s v="Skilled Manual"/>
    <s v="No"/>
    <n v="2"/>
    <x v="3"/>
    <x v="2"/>
    <n v="31"/>
    <x v="0"/>
    <x v="1"/>
  </r>
  <r>
    <n v="26236"/>
    <x v="0"/>
    <x v="0"/>
    <n v="40000"/>
    <x v="0"/>
    <n v="3"/>
    <x v="1"/>
    <s v="Clerical"/>
    <s v="Yes"/>
    <n v="1"/>
    <x v="0"/>
    <x v="2"/>
    <n v="31"/>
    <x v="0"/>
    <x v="0"/>
  </r>
  <r>
    <n v="17531"/>
    <x v="0"/>
    <x v="1"/>
    <n v="60000"/>
    <x v="1"/>
    <n v="2"/>
    <x v="2"/>
    <s v="Professional"/>
    <s v="No"/>
    <n v="2"/>
    <x v="2"/>
    <x v="2"/>
    <n v="50"/>
    <x v="2"/>
    <x v="0"/>
  </r>
  <r>
    <n v="12964"/>
    <x v="0"/>
    <x v="1"/>
    <n v="70000"/>
    <x v="1"/>
    <n v="1"/>
    <x v="1"/>
    <s v="Skilled Manual"/>
    <s v="Yes"/>
    <n v="1"/>
    <x v="0"/>
    <x v="2"/>
    <n v="44"/>
    <x v="0"/>
    <x v="0"/>
  </r>
  <r>
    <n v="19133"/>
    <x v="1"/>
    <x v="1"/>
    <n v="50000"/>
    <x v="0"/>
    <n v="2"/>
    <x v="0"/>
    <s v="Skilled Manual"/>
    <s v="Yes"/>
    <n v="1"/>
    <x v="1"/>
    <x v="2"/>
    <n v="38"/>
    <x v="0"/>
    <x v="1"/>
  </r>
  <r>
    <n v="24643"/>
    <x v="1"/>
    <x v="0"/>
    <n v="60000"/>
    <x v="1"/>
    <n v="4"/>
    <x v="0"/>
    <s v="Management"/>
    <s v="Yes"/>
    <n v="2"/>
    <x v="4"/>
    <x v="2"/>
    <n v="63"/>
    <x v="1"/>
    <x v="0"/>
  </r>
  <r>
    <n v="21599"/>
    <x v="0"/>
    <x v="0"/>
    <n v="60000"/>
    <x v="1"/>
    <n v="1"/>
    <x v="4"/>
    <s v="Professional"/>
    <s v="Yes"/>
    <n v="0"/>
    <x v="1"/>
    <x v="2"/>
    <n v="36"/>
    <x v="0"/>
    <x v="1"/>
  </r>
  <r>
    <n v="22976"/>
    <x v="1"/>
    <x v="1"/>
    <n v="40000"/>
    <x v="0"/>
    <n v="0"/>
    <x v="2"/>
    <s v="Skilled Manual"/>
    <s v="No"/>
    <n v="2"/>
    <x v="0"/>
    <x v="2"/>
    <n v="28"/>
    <x v="3"/>
    <x v="1"/>
  </r>
  <r>
    <n v="27637"/>
    <x v="1"/>
    <x v="0"/>
    <n v="100000"/>
    <x v="4"/>
    <n v="1"/>
    <x v="1"/>
    <s v="Professional"/>
    <s v="No"/>
    <n v="3"/>
    <x v="3"/>
    <x v="2"/>
    <n v="44"/>
    <x v="0"/>
    <x v="0"/>
  </r>
  <r>
    <n v="11890"/>
    <x v="0"/>
    <x v="0"/>
    <n v="70000"/>
    <x v="1"/>
    <n v="5"/>
    <x v="4"/>
    <s v="Professional"/>
    <s v="Yes"/>
    <n v="1"/>
    <x v="0"/>
    <x v="2"/>
    <n v="47"/>
    <x v="2"/>
    <x v="0"/>
  </r>
  <r>
    <n v="28580"/>
    <x v="0"/>
    <x v="0"/>
    <n v="80000"/>
    <x v="1"/>
    <n v="0"/>
    <x v="4"/>
    <s v="Skilled Manual"/>
    <s v="Yes"/>
    <n v="0"/>
    <x v="3"/>
    <x v="2"/>
    <n v="40"/>
    <x v="0"/>
    <x v="1"/>
  </r>
  <r>
    <n v="14443"/>
    <x v="0"/>
    <x v="1"/>
    <n v="130000"/>
    <x v="4"/>
    <n v="1"/>
    <x v="4"/>
    <s v="Management"/>
    <s v="Yes"/>
    <n v="4"/>
    <x v="0"/>
    <x v="2"/>
    <n v="40"/>
    <x v="0"/>
    <x v="0"/>
  </r>
  <r>
    <n v="17864"/>
    <x v="0"/>
    <x v="0"/>
    <n v="60000"/>
    <x v="1"/>
    <n v="1"/>
    <x v="1"/>
    <s v="Skilled Manual"/>
    <s v="Yes"/>
    <n v="1"/>
    <x v="1"/>
    <x v="2"/>
    <n v="46"/>
    <x v="2"/>
    <x v="1"/>
  </r>
  <r>
    <n v="20505"/>
    <x v="0"/>
    <x v="0"/>
    <n v="40000"/>
    <x v="0"/>
    <n v="5"/>
    <x v="2"/>
    <s v="Professional"/>
    <s v="No"/>
    <n v="2"/>
    <x v="4"/>
    <x v="2"/>
    <n v="61"/>
    <x v="1"/>
    <x v="0"/>
  </r>
  <r>
    <n v="14592"/>
    <x v="0"/>
    <x v="0"/>
    <n v="60000"/>
    <x v="1"/>
    <n v="0"/>
    <x v="4"/>
    <s v="Professional"/>
    <s v="Yes"/>
    <n v="0"/>
    <x v="0"/>
    <x v="2"/>
    <n v="40"/>
    <x v="0"/>
    <x v="0"/>
  </r>
  <r>
    <n v="22227"/>
    <x v="0"/>
    <x v="0"/>
    <n v="60000"/>
    <x v="1"/>
    <n v="2"/>
    <x v="2"/>
    <s v="Professional"/>
    <s v="Yes"/>
    <n v="2"/>
    <x v="2"/>
    <x v="2"/>
    <n v="50"/>
    <x v="2"/>
    <x v="0"/>
  </r>
  <r>
    <n v="21471"/>
    <x v="0"/>
    <x v="1"/>
    <n v="70000"/>
    <x v="1"/>
    <n v="2"/>
    <x v="1"/>
    <s v="Professional"/>
    <s v="Yes"/>
    <n v="1"/>
    <x v="4"/>
    <x v="2"/>
    <n v="59"/>
    <x v="2"/>
    <x v="0"/>
  </r>
  <r>
    <n v="22252"/>
    <x v="1"/>
    <x v="0"/>
    <n v="60000"/>
    <x v="1"/>
    <n v="1"/>
    <x v="4"/>
    <s v="Professional"/>
    <s v="Yes"/>
    <n v="0"/>
    <x v="1"/>
    <x v="2"/>
    <n v="36"/>
    <x v="0"/>
    <x v="1"/>
  </r>
  <r>
    <n v="21260"/>
    <x v="1"/>
    <x v="0"/>
    <n v="40000"/>
    <x v="0"/>
    <n v="0"/>
    <x v="2"/>
    <s v="Skilled Manual"/>
    <s v="Yes"/>
    <n v="2"/>
    <x v="2"/>
    <x v="2"/>
    <n v="30"/>
    <x v="0"/>
    <x v="0"/>
  </r>
  <r>
    <n v="11817"/>
    <x v="1"/>
    <x v="0"/>
    <n v="70000"/>
    <x v="1"/>
    <n v="4"/>
    <x v="4"/>
    <s v="Professional"/>
    <s v="Yes"/>
    <n v="0"/>
    <x v="1"/>
    <x v="2"/>
    <n v="35"/>
    <x v="0"/>
    <x v="1"/>
  </r>
  <r>
    <n v="19223"/>
    <x v="0"/>
    <x v="0"/>
    <n v="30000"/>
    <x v="0"/>
    <n v="2"/>
    <x v="2"/>
    <s v="Skilled Manual"/>
    <s v="Yes"/>
    <n v="2"/>
    <x v="3"/>
    <x v="2"/>
    <n v="48"/>
    <x v="2"/>
    <x v="0"/>
  </r>
  <r>
    <n v="18517"/>
    <x v="0"/>
    <x v="1"/>
    <n v="100000"/>
    <x v="4"/>
    <n v="3"/>
    <x v="0"/>
    <s v="Management"/>
    <s v="Yes"/>
    <n v="4"/>
    <x v="0"/>
    <x v="2"/>
    <n v="41"/>
    <x v="0"/>
    <x v="0"/>
  </r>
  <r>
    <n v="21717"/>
    <x v="0"/>
    <x v="1"/>
    <n v="40000"/>
    <x v="0"/>
    <n v="2"/>
    <x v="1"/>
    <s v="Clerical"/>
    <s v="Yes"/>
    <n v="1"/>
    <x v="0"/>
    <x v="2"/>
    <n v="47"/>
    <x v="2"/>
    <x v="0"/>
  </r>
  <r>
    <n v="13760"/>
    <x v="0"/>
    <x v="1"/>
    <n v="60000"/>
    <x v="1"/>
    <n v="4"/>
    <x v="4"/>
    <s v="Skilled Manual"/>
    <s v="No"/>
    <n v="0"/>
    <x v="0"/>
    <x v="2"/>
    <n v="47"/>
    <x v="2"/>
    <x v="0"/>
  </r>
  <r>
    <n v="18145"/>
    <x v="0"/>
    <x v="1"/>
    <n v="80000"/>
    <x v="1"/>
    <n v="5"/>
    <x v="0"/>
    <s v="Management"/>
    <s v="No"/>
    <n v="2"/>
    <x v="1"/>
    <x v="0"/>
    <n v="62"/>
    <x v="1"/>
    <x v="0"/>
  </r>
  <r>
    <n v="21770"/>
    <x v="0"/>
    <x v="1"/>
    <n v="60000"/>
    <x v="1"/>
    <n v="4"/>
    <x v="0"/>
    <s v="Management"/>
    <s v="Yes"/>
    <n v="2"/>
    <x v="4"/>
    <x v="2"/>
    <n v="60"/>
    <x v="1"/>
    <x v="0"/>
  </r>
  <r>
    <n v="11165"/>
    <x v="0"/>
    <x v="0"/>
    <n v="60000"/>
    <x v="1"/>
    <n v="0"/>
    <x v="1"/>
    <s v="Skilled Manual"/>
    <s v="No"/>
    <n v="1"/>
    <x v="3"/>
    <x v="2"/>
    <n v="33"/>
    <x v="0"/>
    <x v="0"/>
  </r>
  <r>
    <n v="16377"/>
    <x v="1"/>
    <x v="0"/>
    <n v="80000"/>
    <x v="1"/>
    <n v="4"/>
    <x v="4"/>
    <s v="Skilled Manual"/>
    <s v="No"/>
    <n v="0"/>
    <x v="0"/>
    <x v="2"/>
    <n v="47"/>
    <x v="2"/>
    <x v="0"/>
  </r>
  <r>
    <n v="26248"/>
    <x v="0"/>
    <x v="1"/>
    <n v="20000"/>
    <x v="0"/>
    <n v="3"/>
    <x v="3"/>
    <s v="Clerical"/>
    <s v="No"/>
    <n v="2"/>
    <x v="0"/>
    <x v="2"/>
    <n v="52"/>
    <x v="2"/>
    <x v="0"/>
  </r>
  <r>
    <n v="23461"/>
    <x v="0"/>
    <x v="0"/>
    <n v="90000"/>
    <x v="1"/>
    <n v="5"/>
    <x v="1"/>
    <s v="Professional"/>
    <s v="Yes"/>
    <n v="3"/>
    <x v="1"/>
    <x v="2"/>
    <n v="40"/>
    <x v="0"/>
    <x v="0"/>
  </r>
  <r>
    <n v="29133"/>
    <x v="1"/>
    <x v="0"/>
    <n v="60000"/>
    <x v="1"/>
    <n v="4"/>
    <x v="0"/>
    <s v="Skilled Manual"/>
    <s v="No"/>
    <n v="2"/>
    <x v="0"/>
    <x v="2"/>
    <n v="42"/>
    <x v="0"/>
    <x v="0"/>
  </r>
  <r>
    <n v="27673"/>
    <x v="1"/>
    <x v="0"/>
    <n v="60000"/>
    <x v="1"/>
    <n v="3"/>
    <x v="4"/>
    <s v="Management"/>
    <s v="Yes"/>
    <n v="2"/>
    <x v="2"/>
    <x v="2"/>
    <n v="53"/>
    <x v="2"/>
    <x v="1"/>
  </r>
  <r>
    <n v="12774"/>
    <x v="0"/>
    <x v="0"/>
    <n v="40000"/>
    <x v="0"/>
    <n v="1"/>
    <x v="1"/>
    <s v="Clerical"/>
    <s v="Yes"/>
    <n v="1"/>
    <x v="3"/>
    <x v="2"/>
    <n v="51"/>
    <x v="2"/>
    <x v="1"/>
  </r>
  <r>
    <n v="18910"/>
    <x v="1"/>
    <x v="1"/>
    <n v="30000"/>
    <x v="0"/>
    <n v="0"/>
    <x v="1"/>
    <s v="Skilled Manual"/>
    <s v="Yes"/>
    <n v="2"/>
    <x v="2"/>
    <x v="2"/>
    <n v="30"/>
    <x v="0"/>
    <x v="0"/>
  </r>
  <r>
    <n v="11699"/>
    <x v="1"/>
    <x v="1"/>
    <n v="60000"/>
    <x v="1"/>
    <n v="0"/>
    <x v="0"/>
    <s v="Skilled Manual"/>
    <s v="No"/>
    <n v="2"/>
    <x v="0"/>
    <x v="2"/>
    <n v="30"/>
    <x v="0"/>
    <x v="0"/>
  </r>
  <r>
    <n v="16725"/>
    <x v="0"/>
    <x v="1"/>
    <n v="30000"/>
    <x v="0"/>
    <n v="0"/>
    <x v="2"/>
    <s v="Skilled Manual"/>
    <s v="Yes"/>
    <n v="2"/>
    <x v="2"/>
    <x v="2"/>
    <n v="26"/>
    <x v="3"/>
    <x v="0"/>
  </r>
  <r>
    <n v="28269"/>
    <x v="1"/>
    <x v="0"/>
    <n v="130000"/>
    <x v="4"/>
    <n v="1"/>
    <x v="0"/>
    <s v="Management"/>
    <s v="No"/>
    <n v="1"/>
    <x v="1"/>
    <x v="2"/>
    <n v="45"/>
    <x v="2"/>
    <x v="0"/>
  </r>
  <r>
    <n v="23144"/>
    <x v="0"/>
    <x v="1"/>
    <n v="50000"/>
    <x v="0"/>
    <n v="1"/>
    <x v="0"/>
    <s v="Skilled Manual"/>
    <s v="Yes"/>
    <n v="0"/>
    <x v="0"/>
    <x v="2"/>
    <n v="34"/>
    <x v="0"/>
    <x v="1"/>
  </r>
  <r>
    <n v="23376"/>
    <x v="0"/>
    <x v="1"/>
    <n v="70000"/>
    <x v="1"/>
    <n v="1"/>
    <x v="0"/>
    <s v="Professional"/>
    <s v="Yes"/>
    <n v="1"/>
    <x v="1"/>
    <x v="2"/>
    <n v="44"/>
    <x v="0"/>
    <x v="1"/>
  </r>
  <r>
    <n v="25970"/>
    <x v="1"/>
    <x v="0"/>
    <n v="60000"/>
    <x v="1"/>
    <n v="4"/>
    <x v="0"/>
    <s v="Skilled Manual"/>
    <s v="No"/>
    <n v="2"/>
    <x v="0"/>
    <x v="2"/>
    <n v="41"/>
    <x v="0"/>
    <x v="1"/>
  </r>
  <r>
    <n v="28068"/>
    <x v="1"/>
    <x v="0"/>
    <n v="80000"/>
    <x v="1"/>
    <n v="3"/>
    <x v="4"/>
    <s v="Professional"/>
    <s v="No"/>
    <n v="0"/>
    <x v="0"/>
    <x v="2"/>
    <n v="36"/>
    <x v="0"/>
    <x v="1"/>
  </r>
  <r>
    <n v="18390"/>
    <x v="0"/>
    <x v="1"/>
    <n v="80000"/>
    <x v="1"/>
    <n v="5"/>
    <x v="1"/>
    <s v="Professional"/>
    <s v="Yes"/>
    <n v="2"/>
    <x v="0"/>
    <x v="2"/>
    <n v="44"/>
    <x v="0"/>
    <x v="0"/>
  </r>
  <r>
    <n v="29112"/>
    <x v="1"/>
    <x v="1"/>
    <n v="60000"/>
    <x v="1"/>
    <n v="0"/>
    <x v="1"/>
    <s v="Professional"/>
    <s v="No"/>
    <n v="2"/>
    <x v="3"/>
    <x v="2"/>
    <n v="30"/>
    <x v="0"/>
    <x v="0"/>
  </r>
  <r>
    <n v="14090"/>
    <x v="0"/>
    <x v="0"/>
    <n v="30000"/>
    <x v="0"/>
    <n v="0"/>
    <x v="3"/>
    <s v="Clerical"/>
    <s v="No"/>
    <n v="2"/>
    <x v="0"/>
    <x v="2"/>
    <n v="28"/>
    <x v="3"/>
    <x v="0"/>
  </r>
  <r>
    <n v="27040"/>
    <x v="0"/>
    <x v="1"/>
    <n v="20000"/>
    <x v="0"/>
    <n v="2"/>
    <x v="3"/>
    <s v="Clerical"/>
    <s v="Yes"/>
    <n v="2"/>
    <x v="3"/>
    <x v="2"/>
    <n v="49"/>
    <x v="2"/>
    <x v="0"/>
  </r>
  <r>
    <n v="23479"/>
    <x v="1"/>
    <x v="1"/>
    <n v="90000"/>
    <x v="1"/>
    <n v="0"/>
    <x v="1"/>
    <s v="Professional"/>
    <s v="No"/>
    <n v="2"/>
    <x v="0"/>
    <x v="2"/>
    <n v="43"/>
    <x v="0"/>
    <x v="1"/>
  </r>
  <r>
    <n v="16795"/>
    <x v="0"/>
    <x v="0"/>
    <n v="70000"/>
    <x v="1"/>
    <n v="4"/>
    <x v="0"/>
    <s v="Management"/>
    <s v="Yes"/>
    <n v="1"/>
    <x v="3"/>
    <x v="2"/>
    <n v="59"/>
    <x v="2"/>
    <x v="0"/>
  </r>
  <r>
    <n v="22014"/>
    <x v="1"/>
    <x v="1"/>
    <n v="30000"/>
    <x v="0"/>
    <n v="0"/>
    <x v="2"/>
    <s v="Skilled Manual"/>
    <s v="Yes"/>
    <n v="2"/>
    <x v="2"/>
    <x v="2"/>
    <n v="26"/>
    <x v="3"/>
    <x v="0"/>
  </r>
  <r>
    <n v="13314"/>
    <x v="0"/>
    <x v="1"/>
    <n v="120000"/>
    <x v="4"/>
    <n v="1"/>
    <x v="2"/>
    <s v="Professional"/>
    <s v="Yes"/>
    <n v="4"/>
    <x v="2"/>
    <x v="2"/>
    <n v="46"/>
    <x v="2"/>
    <x v="1"/>
  </r>
  <r>
    <n v="11619"/>
    <x v="1"/>
    <x v="0"/>
    <n v="50000"/>
    <x v="0"/>
    <n v="0"/>
    <x v="4"/>
    <s v="Skilled Manual"/>
    <s v="Yes"/>
    <n v="0"/>
    <x v="3"/>
    <x v="2"/>
    <n v="33"/>
    <x v="0"/>
    <x v="0"/>
  </r>
  <r>
    <n v="29132"/>
    <x v="1"/>
    <x v="0"/>
    <n v="40000"/>
    <x v="0"/>
    <n v="0"/>
    <x v="0"/>
    <s v="Professional"/>
    <s v="Yes"/>
    <n v="1"/>
    <x v="1"/>
    <x v="2"/>
    <n v="42"/>
    <x v="0"/>
    <x v="1"/>
  </r>
  <r>
    <n v="11199"/>
    <x v="0"/>
    <x v="0"/>
    <n v="70000"/>
    <x v="1"/>
    <n v="4"/>
    <x v="0"/>
    <s v="Management"/>
    <s v="Yes"/>
    <n v="1"/>
    <x v="4"/>
    <x v="2"/>
    <n v="59"/>
    <x v="2"/>
    <x v="0"/>
  </r>
  <r>
    <n v="20296"/>
    <x v="1"/>
    <x v="0"/>
    <n v="60000"/>
    <x v="1"/>
    <n v="0"/>
    <x v="1"/>
    <s v="Skilled Manual"/>
    <s v="No"/>
    <n v="1"/>
    <x v="3"/>
    <x v="2"/>
    <n v="33"/>
    <x v="0"/>
    <x v="1"/>
  </r>
  <r>
    <n v="17546"/>
    <x v="0"/>
    <x v="0"/>
    <n v="70000"/>
    <x v="1"/>
    <n v="1"/>
    <x v="1"/>
    <s v="Skilled Manual"/>
    <s v="Yes"/>
    <n v="1"/>
    <x v="0"/>
    <x v="2"/>
    <n v="44"/>
    <x v="0"/>
    <x v="1"/>
  </r>
  <r>
    <n v="18069"/>
    <x v="0"/>
    <x v="1"/>
    <n v="70000"/>
    <x v="1"/>
    <n v="5"/>
    <x v="0"/>
    <s v="Management"/>
    <s v="Yes"/>
    <n v="4"/>
    <x v="4"/>
    <x v="2"/>
    <n v="60"/>
    <x v="1"/>
    <x v="0"/>
  </r>
  <r>
    <n v="23712"/>
    <x v="1"/>
    <x v="0"/>
    <n v="70000"/>
    <x v="1"/>
    <n v="2"/>
    <x v="0"/>
    <s v="Management"/>
    <s v="Yes"/>
    <n v="1"/>
    <x v="4"/>
    <x v="2"/>
    <n v="59"/>
    <x v="2"/>
    <x v="0"/>
  </r>
  <r>
    <n v="23358"/>
    <x v="0"/>
    <x v="1"/>
    <n v="60000"/>
    <x v="1"/>
    <n v="0"/>
    <x v="2"/>
    <s v="Professional"/>
    <s v="Yes"/>
    <n v="2"/>
    <x v="2"/>
    <x v="2"/>
    <n v="32"/>
    <x v="0"/>
    <x v="1"/>
  </r>
  <r>
    <n v="20518"/>
    <x v="0"/>
    <x v="0"/>
    <n v="70000"/>
    <x v="1"/>
    <n v="2"/>
    <x v="1"/>
    <s v="Professional"/>
    <s v="Yes"/>
    <n v="1"/>
    <x v="4"/>
    <x v="2"/>
    <n v="58"/>
    <x v="2"/>
    <x v="0"/>
  </r>
  <r>
    <n v="28026"/>
    <x v="0"/>
    <x v="0"/>
    <n v="40000"/>
    <x v="0"/>
    <n v="2"/>
    <x v="2"/>
    <s v="Professional"/>
    <s v="No"/>
    <n v="2"/>
    <x v="1"/>
    <x v="2"/>
    <n v="59"/>
    <x v="2"/>
    <x v="0"/>
  </r>
  <r>
    <n v="11669"/>
    <x v="1"/>
    <x v="0"/>
    <n v="70000"/>
    <x v="1"/>
    <n v="2"/>
    <x v="0"/>
    <s v="Skilled Manual"/>
    <s v="Yes"/>
    <n v="1"/>
    <x v="1"/>
    <x v="2"/>
    <n v="38"/>
    <x v="0"/>
    <x v="0"/>
  </r>
  <r>
    <n v="16020"/>
    <x v="0"/>
    <x v="1"/>
    <n v="40000"/>
    <x v="0"/>
    <n v="0"/>
    <x v="2"/>
    <s v="Skilled Manual"/>
    <s v="Yes"/>
    <n v="2"/>
    <x v="2"/>
    <x v="2"/>
    <n v="28"/>
    <x v="3"/>
    <x v="1"/>
  </r>
  <r>
    <n v="27090"/>
    <x v="0"/>
    <x v="0"/>
    <n v="60000"/>
    <x v="1"/>
    <n v="1"/>
    <x v="4"/>
    <s v="Professional"/>
    <s v="Yes"/>
    <n v="0"/>
    <x v="1"/>
    <x v="2"/>
    <n v="37"/>
    <x v="0"/>
    <x v="1"/>
  </r>
  <r>
    <n v="27198"/>
    <x v="1"/>
    <x v="0"/>
    <n v="80000"/>
    <x v="1"/>
    <n v="0"/>
    <x v="4"/>
    <s v="Skilled Manual"/>
    <s v="No"/>
    <n v="0"/>
    <x v="0"/>
    <x v="2"/>
    <n v="40"/>
    <x v="0"/>
    <x v="0"/>
  </r>
  <r>
    <n v="19661"/>
    <x v="1"/>
    <x v="1"/>
    <n v="90000"/>
    <x v="1"/>
    <n v="4"/>
    <x v="0"/>
    <s v="Management"/>
    <s v="Yes"/>
    <n v="1"/>
    <x v="3"/>
    <x v="2"/>
    <n v="38"/>
    <x v="0"/>
    <x v="1"/>
  </r>
  <r>
    <n v="26327"/>
    <x v="0"/>
    <x v="1"/>
    <n v="70000"/>
    <x v="1"/>
    <n v="4"/>
    <x v="4"/>
    <s v="Professional"/>
    <s v="Yes"/>
    <n v="0"/>
    <x v="1"/>
    <x v="2"/>
    <n v="36"/>
    <x v="0"/>
    <x v="1"/>
  </r>
  <r>
    <n v="26341"/>
    <x v="0"/>
    <x v="0"/>
    <n v="70000"/>
    <x v="1"/>
    <n v="5"/>
    <x v="4"/>
    <s v="Professional"/>
    <s v="Yes"/>
    <n v="2"/>
    <x v="0"/>
    <x v="2"/>
    <n v="37"/>
    <x v="0"/>
    <x v="0"/>
  </r>
  <r>
    <n v="24958"/>
    <x v="1"/>
    <x v="0"/>
    <n v="40000"/>
    <x v="0"/>
    <n v="5"/>
    <x v="2"/>
    <s v="Professional"/>
    <s v="No"/>
    <n v="3"/>
    <x v="1"/>
    <x v="2"/>
    <n v="60"/>
    <x v="1"/>
    <x v="1"/>
  </r>
  <r>
    <n v="13287"/>
    <x v="1"/>
    <x v="1"/>
    <n v="110000"/>
    <x v="4"/>
    <n v="4"/>
    <x v="0"/>
    <s v="Management"/>
    <s v="Yes"/>
    <n v="4"/>
    <x v="2"/>
    <x v="2"/>
    <n v="42"/>
    <x v="0"/>
    <x v="1"/>
  </r>
  <r>
    <n v="14493"/>
    <x v="1"/>
    <x v="0"/>
    <n v="70000"/>
    <x v="1"/>
    <n v="3"/>
    <x v="4"/>
    <s v="Management"/>
    <s v="No"/>
    <n v="2"/>
    <x v="3"/>
    <x v="2"/>
    <n v="53"/>
    <x v="2"/>
    <x v="0"/>
  </r>
  <r>
    <n v="26678"/>
    <x v="1"/>
    <x v="0"/>
    <n v="80000"/>
    <x v="1"/>
    <n v="2"/>
    <x v="3"/>
    <s v="Skilled Manual"/>
    <s v="Yes"/>
    <n v="2"/>
    <x v="2"/>
    <x v="2"/>
    <n v="49"/>
    <x v="2"/>
    <x v="0"/>
  </r>
  <r>
    <n v="23275"/>
    <x v="0"/>
    <x v="1"/>
    <n v="30000"/>
    <x v="0"/>
    <n v="2"/>
    <x v="2"/>
    <s v="Skilled Manual"/>
    <s v="Yes"/>
    <n v="2"/>
    <x v="3"/>
    <x v="2"/>
    <n v="49"/>
    <x v="2"/>
    <x v="0"/>
  </r>
  <r>
    <n v="11270"/>
    <x v="0"/>
    <x v="1"/>
    <n v="130000"/>
    <x v="4"/>
    <n v="2"/>
    <x v="4"/>
    <s v="Management"/>
    <s v="Yes"/>
    <n v="3"/>
    <x v="0"/>
    <x v="2"/>
    <n v="42"/>
    <x v="0"/>
    <x v="1"/>
  </r>
  <r>
    <n v="20084"/>
    <x v="0"/>
    <x v="1"/>
    <n v="20000"/>
    <x v="0"/>
    <n v="2"/>
    <x v="2"/>
    <s v="Manual"/>
    <s v="No"/>
    <n v="2"/>
    <x v="0"/>
    <x v="2"/>
    <n v="53"/>
    <x v="2"/>
    <x v="0"/>
  </r>
  <r>
    <n v="16144"/>
    <x v="0"/>
    <x v="1"/>
    <n v="70000"/>
    <x v="1"/>
    <n v="1"/>
    <x v="4"/>
    <s v="Professional"/>
    <s v="Yes"/>
    <n v="1"/>
    <x v="0"/>
    <x v="2"/>
    <n v="46"/>
    <x v="2"/>
    <x v="1"/>
  </r>
  <r>
    <n v="27731"/>
    <x v="0"/>
    <x v="1"/>
    <n v="40000"/>
    <x v="0"/>
    <n v="0"/>
    <x v="2"/>
    <s v="Skilled Manual"/>
    <s v="Yes"/>
    <n v="2"/>
    <x v="2"/>
    <x v="2"/>
    <n v="27"/>
    <x v="3"/>
    <x v="0"/>
  </r>
  <r>
    <n v="11886"/>
    <x v="0"/>
    <x v="0"/>
    <n v="60000"/>
    <x v="1"/>
    <n v="3"/>
    <x v="0"/>
    <s v="Professional"/>
    <s v="Yes"/>
    <n v="1"/>
    <x v="0"/>
    <x v="2"/>
    <n v="48"/>
    <x v="2"/>
    <x v="1"/>
  </r>
  <r>
    <n v="24324"/>
    <x v="1"/>
    <x v="0"/>
    <n v="60000"/>
    <x v="1"/>
    <n v="4"/>
    <x v="0"/>
    <s v="Skilled Manual"/>
    <s v="Yes"/>
    <n v="2"/>
    <x v="1"/>
    <x v="2"/>
    <n v="41"/>
    <x v="0"/>
    <x v="1"/>
  </r>
  <r>
    <n v="22220"/>
    <x v="0"/>
    <x v="1"/>
    <n v="60000"/>
    <x v="1"/>
    <n v="2"/>
    <x v="2"/>
    <s v="Professional"/>
    <s v="No"/>
    <n v="2"/>
    <x v="3"/>
    <x v="2"/>
    <n v="49"/>
    <x v="2"/>
    <x v="1"/>
  </r>
  <r>
    <n v="26625"/>
    <x v="1"/>
    <x v="0"/>
    <n v="60000"/>
    <x v="1"/>
    <n v="0"/>
    <x v="4"/>
    <s v="Professional"/>
    <s v="Yes"/>
    <n v="1"/>
    <x v="1"/>
    <x v="2"/>
    <n v="38"/>
    <x v="0"/>
    <x v="1"/>
  </r>
  <r>
    <n v="23027"/>
    <x v="1"/>
    <x v="1"/>
    <n v="130000"/>
    <x v="4"/>
    <n v="1"/>
    <x v="0"/>
    <s v="Management"/>
    <s v="No"/>
    <n v="4"/>
    <x v="0"/>
    <x v="2"/>
    <n v="44"/>
    <x v="0"/>
    <x v="0"/>
  </r>
  <r>
    <n v="16867"/>
    <x v="1"/>
    <x v="0"/>
    <n v="130000"/>
    <x v="4"/>
    <n v="1"/>
    <x v="0"/>
    <s v="Management"/>
    <s v="No"/>
    <n v="3"/>
    <x v="0"/>
    <x v="2"/>
    <n v="45"/>
    <x v="2"/>
    <x v="1"/>
  </r>
  <r>
    <n v="14514"/>
    <x v="1"/>
    <x v="0"/>
    <n v="30000"/>
    <x v="0"/>
    <n v="0"/>
    <x v="1"/>
    <s v="Skilled Manual"/>
    <s v="Yes"/>
    <n v="1"/>
    <x v="2"/>
    <x v="2"/>
    <n v="26"/>
    <x v="3"/>
    <x v="0"/>
  </r>
  <r>
    <n v="19634"/>
    <x v="0"/>
    <x v="1"/>
    <n v="40000"/>
    <x v="0"/>
    <n v="0"/>
    <x v="2"/>
    <s v="Skilled Manual"/>
    <s v="Yes"/>
    <n v="1"/>
    <x v="2"/>
    <x v="2"/>
    <n v="31"/>
    <x v="0"/>
    <x v="0"/>
  </r>
  <r>
    <n v="18504"/>
    <x v="0"/>
    <x v="1"/>
    <n v="70000"/>
    <x v="1"/>
    <n v="2"/>
    <x v="3"/>
    <s v="Skilled Manual"/>
    <s v="No"/>
    <n v="2"/>
    <x v="3"/>
    <x v="2"/>
    <n v="49"/>
    <x v="2"/>
    <x v="0"/>
  </r>
  <r>
    <n v="28799"/>
    <x v="1"/>
    <x v="0"/>
    <n v="40000"/>
    <x v="0"/>
    <n v="2"/>
    <x v="1"/>
    <s v="Clerical"/>
    <s v="No"/>
    <n v="1"/>
    <x v="3"/>
    <x v="2"/>
    <n v="47"/>
    <x v="2"/>
    <x v="1"/>
  </r>
  <r>
    <n v="11225"/>
    <x v="0"/>
    <x v="0"/>
    <n v="60000"/>
    <x v="1"/>
    <n v="2"/>
    <x v="1"/>
    <s v="Professional"/>
    <s v="Yes"/>
    <n v="1"/>
    <x v="4"/>
    <x v="2"/>
    <n v="55"/>
    <x v="2"/>
    <x v="0"/>
  </r>
  <r>
    <n v="17657"/>
    <x v="0"/>
    <x v="1"/>
    <n v="40000"/>
    <x v="0"/>
    <n v="4"/>
    <x v="1"/>
    <s v="Clerical"/>
    <s v="No"/>
    <n v="0"/>
    <x v="0"/>
    <x v="2"/>
    <n v="30"/>
    <x v="0"/>
    <x v="0"/>
  </r>
  <r>
    <n v="14913"/>
    <x v="0"/>
    <x v="0"/>
    <n v="40000"/>
    <x v="0"/>
    <n v="1"/>
    <x v="1"/>
    <s v="Clerical"/>
    <s v="Yes"/>
    <n v="1"/>
    <x v="3"/>
    <x v="2"/>
    <n v="48"/>
    <x v="2"/>
    <x v="1"/>
  </r>
  <r>
    <n v="14077"/>
    <x v="1"/>
    <x v="1"/>
    <n v="30000"/>
    <x v="0"/>
    <n v="0"/>
    <x v="2"/>
    <s v="Skilled Manual"/>
    <s v="Yes"/>
    <n v="2"/>
    <x v="2"/>
    <x v="2"/>
    <n v="30"/>
    <x v="0"/>
    <x v="0"/>
  </r>
  <r>
    <n v="13296"/>
    <x v="0"/>
    <x v="1"/>
    <n v="110000"/>
    <x v="4"/>
    <n v="1"/>
    <x v="0"/>
    <s v="Management"/>
    <s v="Yes"/>
    <n v="3"/>
    <x v="2"/>
    <x v="2"/>
    <n v="45"/>
    <x v="2"/>
    <x v="0"/>
  </r>
  <r>
    <n v="20535"/>
    <x v="0"/>
    <x v="0"/>
    <n v="70000"/>
    <x v="1"/>
    <n v="4"/>
    <x v="1"/>
    <s v="Professional"/>
    <s v="Yes"/>
    <n v="1"/>
    <x v="4"/>
    <x v="2"/>
    <n v="56"/>
    <x v="2"/>
    <x v="0"/>
  </r>
  <r>
    <n v="12452"/>
    <x v="0"/>
    <x v="1"/>
    <n v="60000"/>
    <x v="1"/>
    <n v="4"/>
    <x v="4"/>
    <s v="Skilled Manual"/>
    <s v="Yes"/>
    <n v="0"/>
    <x v="3"/>
    <x v="2"/>
    <n v="47"/>
    <x v="2"/>
    <x v="1"/>
  </r>
  <r>
    <n v="28043"/>
    <x v="0"/>
    <x v="0"/>
    <n v="60000"/>
    <x v="1"/>
    <n v="2"/>
    <x v="0"/>
    <s v="Management"/>
    <s v="Yes"/>
    <n v="0"/>
    <x v="4"/>
    <x v="2"/>
    <n v="56"/>
    <x v="2"/>
    <x v="0"/>
  </r>
  <r>
    <n v="12957"/>
    <x v="1"/>
    <x v="0"/>
    <n v="70000"/>
    <x v="1"/>
    <n v="1"/>
    <x v="0"/>
    <s v="Professional"/>
    <s v="No"/>
    <n v="1"/>
    <x v="0"/>
    <x v="2"/>
    <n v="44"/>
    <x v="0"/>
    <x v="0"/>
  </r>
  <r>
    <n v="15412"/>
    <x v="0"/>
    <x v="1"/>
    <n v="130000"/>
    <x v="4"/>
    <n v="2"/>
    <x v="4"/>
    <s v="Management"/>
    <s v="Yes"/>
    <n v="3"/>
    <x v="1"/>
    <x v="2"/>
    <n v="69"/>
    <x v="1"/>
    <x v="0"/>
  </r>
  <r>
    <n v="20514"/>
    <x v="0"/>
    <x v="0"/>
    <n v="70000"/>
    <x v="1"/>
    <n v="2"/>
    <x v="1"/>
    <s v="Professional"/>
    <s v="Yes"/>
    <n v="1"/>
    <x v="1"/>
    <x v="2"/>
    <n v="59"/>
    <x v="2"/>
    <x v="0"/>
  </r>
  <r>
    <n v="20758"/>
    <x v="0"/>
    <x v="1"/>
    <n v="30000"/>
    <x v="0"/>
    <n v="2"/>
    <x v="2"/>
    <s v="Skilled Manual"/>
    <s v="Yes"/>
    <n v="2"/>
    <x v="3"/>
    <x v="2"/>
    <n v="50"/>
    <x v="2"/>
    <x v="0"/>
  </r>
  <r>
    <n v="11801"/>
    <x v="0"/>
    <x v="1"/>
    <n v="60000"/>
    <x v="1"/>
    <n v="1"/>
    <x v="4"/>
    <s v="Professional"/>
    <s v="Yes"/>
    <n v="0"/>
    <x v="1"/>
    <x v="2"/>
    <n v="36"/>
    <x v="0"/>
    <x v="0"/>
  </r>
  <r>
    <n v="22211"/>
    <x v="0"/>
    <x v="1"/>
    <n v="60000"/>
    <x v="1"/>
    <n v="0"/>
    <x v="1"/>
    <s v="Professional"/>
    <s v="Yes"/>
    <n v="2"/>
    <x v="2"/>
    <x v="2"/>
    <n v="32"/>
    <x v="0"/>
    <x v="0"/>
  </r>
  <r>
    <n v="28087"/>
    <x v="1"/>
    <x v="0"/>
    <n v="40000"/>
    <x v="0"/>
    <n v="0"/>
    <x v="1"/>
    <s v="Skilled Manual"/>
    <s v="No"/>
    <n v="1"/>
    <x v="3"/>
    <x v="2"/>
    <n v="27"/>
    <x v="3"/>
    <x v="0"/>
  </r>
  <r>
    <n v="23668"/>
    <x v="0"/>
    <x v="0"/>
    <n v="40000"/>
    <x v="0"/>
    <n v="4"/>
    <x v="2"/>
    <s v="Professional"/>
    <s v="Yes"/>
    <n v="2"/>
    <x v="2"/>
    <x v="2"/>
    <n v="59"/>
    <x v="2"/>
    <x v="1"/>
  </r>
  <r>
    <n v="27441"/>
    <x v="0"/>
    <x v="1"/>
    <n v="60000"/>
    <x v="1"/>
    <n v="3"/>
    <x v="2"/>
    <s v="Professional"/>
    <s v="No"/>
    <n v="2"/>
    <x v="1"/>
    <x v="2"/>
    <n v="53"/>
    <x v="2"/>
    <x v="0"/>
  </r>
  <r>
    <n v="27261"/>
    <x v="0"/>
    <x v="1"/>
    <n v="40000"/>
    <x v="0"/>
    <n v="1"/>
    <x v="0"/>
    <s v="Skilled Manual"/>
    <s v="No"/>
    <n v="1"/>
    <x v="0"/>
    <x v="2"/>
    <n v="36"/>
    <x v="0"/>
    <x v="1"/>
  </r>
  <r>
    <n v="18649"/>
    <x v="1"/>
    <x v="1"/>
    <n v="30000"/>
    <x v="0"/>
    <n v="1"/>
    <x v="2"/>
    <s v="Clerical"/>
    <s v="Yes"/>
    <n v="2"/>
    <x v="3"/>
    <x v="2"/>
    <n v="51"/>
    <x v="2"/>
    <x v="1"/>
  </r>
  <r>
    <n v="21714"/>
    <x v="1"/>
    <x v="0"/>
    <n v="80000"/>
    <x v="1"/>
    <n v="5"/>
    <x v="4"/>
    <s v="Skilled Manual"/>
    <s v="No"/>
    <n v="0"/>
    <x v="0"/>
    <x v="2"/>
    <n v="47"/>
    <x v="2"/>
    <x v="0"/>
  </r>
  <r>
    <n v="23217"/>
    <x v="1"/>
    <x v="0"/>
    <n v="60000"/>
    <x v="1"/>
    <n v="3"/>
    <x v="4"/>
    <s v="Professional"/>
    <s v="Yes"/>
    <n v="0"/>
    <x v="1"/>
    <x v="2"/>
    <n v="43"/>
    <x v="0"/>
    <x v="1"/>
  </r>
  <r>
    <n v="23797"/>
    <x v="1"/>
    <x v="1"/>
    <n v="20000"/>
    <x v="0"/>
    <n v="3"/>
    <x v="3"/>
    <s v="Clerical"/>
    <s v="No"/>
    <n v="2"/>
    <x v="0"/>
    <x v="2"/>
    <n v="50"/>
    <x v="2"/>
    <x v="0"/>
  </r>
  <r>
    <n v="13216"/>
    <x v="0"/>
    <x v="0"/>
    <n v="60000"/>
    <x v="1"/>
    <n v="5"/>
    <x v="0"/>
    <s v="Management"/>
    <s v="Yes"/>
    <n v="3"/>
    <x v="4"/>
    <x v="2"/>
    <n v="59"/>
    <x v="2"/>
    <x v="0"/>
  </r>
  <r>
    <n v="20657"/>
    <x v="1"/>
    <x v="1"/>
    <n v="50000"/>
    <x v="0"/>
    <n v="2"/>
    <x v="0"/>
    <s v="Skilled Manual"/>
    <s v="Yes"/>
    <n v="0"/>
    <x v="1"/>
    <x v="2"/>
    <n v="37"/>
    <x v="0"/>
    <x v="1"/>
  </r>
  <r>
    <n v="12882"/>
    <x v="0"/>
    <x v="1"/>
    <n v="50000"/>
    <x v="0"/>
    <n v="1"/>
    <x v="4"/>
    <s v="Skilled Manual"/>
    <s v="Yes"/>
    <n v="0"/>
    <x v="0"/>
    <x v="2"/>
    <n v="33"/>
    <x v="0"/>
    <x v="1"/>
  </r>
  <r>
    <n v="25908"/>
    <x v="0"/>
    <x v="0"/>
    <n v="60000"/>
    <x v="1"/>
    <n v="0"/>
    <x v="1"/>
    <s v="Skilled Manual"/>
    <s v="No"/>
    <n v="1"/>
    <x v="3"/>
    <x v="2"/>
    <n v="27"/>
    <x v="3"/>
    <x v="0"/>
  </r>
  <r>
    <n v="16753"/>
    <x v="1"/>
    <x v="0"/>
    <n v="70000"/>
    <x v="1"/>
    <n v="0"/>
    <x v="1"/>
    <s v="Skilled Manual"/>
    <s v="Yes"/>
    <n v="2"/>
    <x v="2"/>
    <x v="2"/>
    <n v="34"/>
    <x v="0"/>
    <x v="1"/>
  </r>
  <r>
    <n v="14608"/>
    <x v="0"/>
    <x v="1"/>
    <n v="50000"/>
    <x v="0"/>
    <n v="4"/>
    <x v="0"/>
    <s v="Skilled Manual"/>
    <s v="Yes"/>
    <n v="3"/>
    <x v="4"/>
    <x v="2"/>
    <n v="42"/>
    <x v="0"/>
    <x v="0"/>
  </r>
  <r>
    <n v="24979"/>
    <x v="0"/>
    <x v="0"/>
    <n v="60000"/>
    <x v="1"/>
    <n v="2"/>
    <x v="1"/>
    <s v="Professional"/>
    <s v="Yes"/>
    <n v="2"/>
    <x v="1"/>
    <x v="2"/>
    <n v="57"/>
    <x v="2"/>
    <x v="1"/>
  </r>
  <r>
    <n v="13313"/>
    <x v="0"/>
    <x v="0"/>
    <n v="120000"/>
    <x v="4"/>
    <n v="1"/>
    <x v="2"/>
    <s v="Professional"/>
    <s v="No"/>
    <n v="4"/>
    <x v="1"/>
    <x v="2"/>
    <n v="45"/>
    <x v="2"/>
    <x v="0"/>
  </r>
  <r>
    <n v="18952"/>
    <x v="0"/>
    <x v="0"/>
    <n v="100000"/>
    <x v="4"/>
    <n v="4"/>
    <x v="0"/>
    <s v="Management"/>
    <s v="Yes"/>
    <n v="4"/>
    <x v="0"/>
    <x v="2"/>
    <n v="40"/>
    <x v="0"/>
    <x v="0"/>
  </r>
  <r>
    <n v="17699"/>
    <x v="0"/>
    <x v="1"/>
    <n v="60000"/>
    <x v="1"/>
    <n v="1"/>
    <x v="4"/>
    <s v="Skilled Manual"/>
    <s v="No"/>
    <n v="0"/>
    <x v="0"/>
    <x v="2"/>
    <n v="55"/>
    <x v="2"/>
    <x v="0"/>
  </r>
  <r>
    <n v="14657"/>
    <x v="0"/>
    <x v="1"/>
    <n v="80000"/>
    <x v="1"/>
    <n v="1"/>
    <x v="1"/>
    <s v="Skilled Manual"/>
    <s v="No"/>
    <n v="1"/>
    <x v="0"/>
    <x v="2"/>
    <n v="47"/>
    <x v="2"/>
    <x v="1"/>
  </r>
  <r>
    <n v="11540"/>
    <x v="1"/>
    <x v="1"/>
    <n v="60000"/>
    <x v="1"/>
    <n v="4"/>
    <x v="4"/>
    <s v="Skilled Manual"/>
    <s v="Yes"/>
    <n v="0"/>
    <x v="3"/>
    <x v="2"/>
    <n v="47"/>
    <x v="2"/>
    <x v="1"/>
  </r>
  <r>
    <n v="11783"/>
    <x v="0"/>
    <x v="0"/>
    <n v="60000"/>
    <x v="1"/>
    <n v="1"/>
    <x v="4"/>
    <s v="Skilled Manual"/>
    <s v="Yes"/>
    <n v="0"/>
    <x v="0"/>
    <x v="2"/>
    <n v="34"/>
    <x v="0"/>
    <x v="0"/>
  </r>
  <r>
    <n v="14602"/>
    <x v="0"/>
    <x v="0"/>
    <n v="80000"/>
    <x v="1"/>
    <n v="3"/>
    <x v="4"/>
    <s v="Professional"/>
    <s v="Yes"/>
    <n v="0"/>
    <x v="0"/>
    <x v="2"/>
    <n v="36"/>
    <x v="0"/>
    <x v="1"/>
  </r>
  <r>
    <n v="29030"/>
    <x v="0"/>
    <x v="1"/>
    <n v="70000"/>
    <x v="1"/>
    <n v="2"/>
    <x v="3"/>
    <s v="Skilled Manual"/>
    <s v="Yes"/>
    <n v="2"/>
    <x v="4"/>
    <x v="2"/>
    <n v="54"/>
    <x v="2"/>
    <x v="0"/>
  </r>
  <r>
    <n v="26490"/>
    <x v="1"/>
    <x v="1"/>
    <n v="70000"/>
    <x v="1"/>
    <n v="2"/>
    <x v="0"/>
    <s v="Management"/>
    <s v="No"/>
    <n v="1"/>
    <x v="1"/>
    <x v="2"/>
    <n v="59"/>
    <x v="2"/>
    <x v="1"/>
  </r>
  <r>
    <n v="13151"/>
    <x v="1"/>
    <x v="1"/>
    <n v="40000"/>
    <x v="0"/>
    <n v="0"/>
    <x v="2"/>
    <s v="Skilled Manual"/>
    <s v="Yes"/>
    <n v="2"/>
    <x v="2"/>
    <x v="2"/>
    <n v="27"/>
    <x v="3"/>
    <x v="0"/>
  </r>
  <r>
    <n v="17260"/>
    <x v="0"/>
    <x v="1"/>
    <n v="90000"/>
    <x v="1"/>
    <n v="5"/>
    <x v="1"/>
    <s v="Professional"/>
    <s v="Yes"/>
    <n v="3"/>
    <x v="0"/>
    <x v="2"/>
    <n v="41"/>
    <x v="0"/>
    <x v="0"/>
  </r>
  <r>
    <n v="15372"/>
    <x v="0"/>
    <x v="1"/>
    <n v="80000"/>
    <x v="1"/>
    <n v="3"/>
    <x v="1"/>
    <s v="Professional"/>
    <s v="No"/>
    <n v="2"/>
    <x v="1"/>
    <x v="2"/>
    <n v="50"/>
    <x v="2"/>
    <x v="1"/>
  </r>
  <r>
    <n v="18105"/>
    <x v="0"/>
    <x v="0"/>
    <n v="60000"/>
    <x v="1"/>
    <n v="2"/>
    <x v="1"/>
    <s v="Professional"/>
    <s v="Yes"/>
    <n v="1"/>
    <x v="4"/>
    <x v="2"/>
    <n v="55"/>
    <x v="2"/>
    <x v="0"/>
  </r>
  <r>
    <n v="19660"/>
    <x v="0"/>
    <x v="1"/>
    <n v="80000"/>
    <x v="1"/>
    <n v="4"/>
    <x v="0"/>
    <s v="Management"/>
    <s v="Yes"/>
    <n v="0"/>
    <x v="0"/>
    <x v="2"/>
    <n v="43"/>
    <x v="0"/>
    <x v="0"/>
  </r>
  <r>
    <n v="16112"/>
    <x v="1"/>
    <x v="1"/>
    <n v="70000"/>
    <x v="1"/>
    <n v="4"/>
    <x v="0"/>
    <s v="Professional"/>
    <s v="Yes"/>
    <n v="2"/>
    <x v="1"/>
    <x v="2"/>
    <n v="43"/>
    <x v="0"/>
    <x v="1"/>
  </r>
  <r>
    <n v="20698"/>
    <x v="0"/>
    <x v="1"/>
    <n v="60000"/>
    <x v="1"/>
    <n v="4"/>
    <x v="0"/>
    <s v="Skilled Manual"/>
    <s v="Yes"/>
    <n v="3"/>
    <x v="2"/>
    <x v="2"/>
    <n v="42"/>
    <x v="0"/>
    <x v="0"/>
  </r>
  <r>
    <n v="20076"/>
    <x v="1"/>
    <x v="0"/>
    <n v="10000"/>
    <x v="2"/>
    <n v="2"/>
    <x v="2"/>
    <s v="Manual"/>
    <s v="Yes"/>
    <n v="2"/>
    <x v="3"/>
    <x v="2"/>
    <n v="53"/>
    <x v="2"/>
    <x v="1"/>
  </r>
  <r>
    <n v="24496"/>
    <x v="1"/>
    <x v="0"/>
    <n v="40000"/>
    <x v="0"/>
    <n v="0"/>
    <x v="2"/>
    <s v="Skilled Manual"/>
    <s v="No"/>
    <n v="2"/>
    <x v="0"/>
    <x v="2"/>
    <n v="28"/>
    <x v="3"/>
    <x v="1"/>
  </r>
  <r>
    <n v="15468"/>
    <x v="0"/>
    <x v="0"/>
    <n v="50000"/>
    <x v="0"/>
    <n v="1"/>
    <x v="0"/>
    <s v="Skilled Manual"/>
    <s v="Yes"/>
    <n v="1"/>
    <x v="0"/>
    <x v="2"/>
    <n v="35"/>
    <x v="0"/>
    <x v="0"/>
  </r>
  <r>
    <n v="28031"/>
    <x v="1"/>
    <x v="0"/>
    <n v="70000"/>
    <x v="1"/>
    <n v="2"/>
    <x v="0"/>
    <s v="Management"/>
    <s v="No"/>
    <n v="1"/>
    <x v="1"/>
    <x v="2"/>
    <n v="59"/>
    <x v="2"/>
    <x v="1"/>
  </r>
  <r>
    <n v="26270"/>
    <x v="1"/>
    <x v="0"/>
    <n v="20000"/>
    <x v="0"/>
    <n v="2"/>
    <x v="3"/>
    <s v="Clerical"/>
    <s v="Yes"/>
    <n v="2"/>
    <x v="3"/>
    <x v="2"/>
    <n v="49"/>
    <x v="2"/>
    <x v="0"/>
  </r>
  <r>
    <n v="22221"/>
    <x v="0"/>
    <x v="1"/>
    <n v="60000"/>
    <x v="1"/>
    <n v="2"/>
    <x v="2"/>
    <s v="Professional"/>
    <s v="No"/>
    <n v="2"/>
    <x v="3"/>
    <x v="2"/>
    <n v="48"/>
    <x v="2"/>
    <x v="1"/>
  </r>
  <r>
    <n v="28228"/>
    <x v="1"/>
    <x v="0"/>
    <n v="80000"/>
    <x v="1"/>
    <n v="2"/>
    <x v="3"/>
    <s v="Skilled Manual"/>
    <s v="No"/>
    <n v="2"/>
    <x v="3"/>
    <x v="2"/>
    <n v="50"/>
    <x v="2"/>
    <x v="0"/>
  </r>
  <r>
    <n v="18363"/>
    <x v="0"/>
    <x v="1"/>
    <n v="40000"/>
    <x v="0"/>
    <n v="0"/>
    <x v="2"/>
    <s v="Skilled Manual"/>
    <s v="Yes"/>
    <n v="2"/>
    <x v="2"/>
    <x v="2"/>
    <n v="28"/>
    <x v="3"/>
    <x v="1"/>
  </r>
  <r>
    <n v="23256"/>
    <x v="1"/>
    <x v="1"/>
    <n v="30000"/>
    <x v="0"/>
    <n v="1"/>
    <x v="2"/>
    <s v="Clerical"/>
    <s v="No"/>
    <n v="1"/>
    <x v="2"/>
    <x v="2"/>
    <n v="52"/>
    <x v="2"/>
    <x v="0"/>
  </r>
  <r>
    <n v="12768"/>
    <x v="0"/>
    <x v="1"/>
    <n v="30000"/>
    <x v="0"/>
    <n v="1"/>
    <x v="2"/>
    <s v="Clerical"/>
    <s v="Yes"/>
    <n v="1"/>
    <x v="1"/>
    <x v="2"/>
    <n v="52"/>
    <x v="2"/>
    <x v="1"/>
  </r>
  <r>
    <n v="20361"/>
    <x v="0"/>
    <x v="1"/>
    <n v="50000"/>
    <x v="0"/>
    <n v="2"/>
    <x v="4"/>
    <s v="Management"/>
    <s v="Yes"/>
    <n v="2"/>
    <x v="2"/>
    <x v="2"/>
    <n v="69"/>
    <x v="1"/>
    <x v="0"/>
  </r>
  <r>
    <n v="21306"/>
    <x v="1"/>
    <x v="1"/>
    <n v="60000"/>
    <x v="1"/>
    <n v="2"/>
    <x v="2"/>
    <s v="Professional"/>
    <s v="Yes"/>
    <n v="2"/>
    <x v="2"/>
    <x v="2"/>
    <n v="51"/>
    <x v="2"/>
    <x v="0"/>
  </r>
  <r>
    <n v="13382"/>
    <x v="0"/>
    <x v="1"/>
    <n v="70000"/>
    <x v="1"/>
    <n v="5"/>
    <x v="1"/>
    <s v="Professional"/>
    <s v="Yes"/>
    <n v="2"/>
    <x v="3"/>
    <x v="2"/>
    <n v="57"/>
    <x v="2"/>
    <x v="1"/>
  </r>
  <r>
    <n v="20310"/>
    <x v="1"/>
    <x v="1"/>
    <n v="60000"/>
    <x v="1"/>
    <n v="0"/>
    <x v="1"/>
    <s v="Skilled Manual"/>
    <s v="Yes"/>
    <n v="1"/>
    <x v="2"/>
    <x v="2"/>
    <n v="27"/>
    <x v="3"/>
    <x v="1"/>
  </r>
  <r>
    <n v="22971"/>
    <x v="1"/>
    <x v="0"/>
    <n v="30000"/>
    <x v="0"/>
    <n v="0"/>
    <x v="2"/>
    <s v="Skilled Manual"/>
    <s v="No"/>
    <n v="2"/>
    <x v="0"/>
    <x v="2"/>
    <n v="25"/>
    <x v="3"/>
    <x v="1"/>
  </r>
  <r>
    <n v="15287"/>
    <x v="1"/>
    <x v="0"/>
    <n v="50000"/>
    <x v="0"/>
    <n v="1"/>
    <x v="4"/>
    <s v="Skilled Manual"/>
    <s v="Yes"/>
    <n v="0"/>
    <x v="3"/>
    <x v="2"/>
    <n v="33"/>
    <x v="0"/>
    <x v="1"/>
  </r>
  <r>
    <n v="15532"/>
    <x v="1"/>
    <x v="1"/>
    <n v="60000"/>
    <x v="1"/>
    <n v="4"/>
    <x v="0"/>
    <s v="Professional"/>
    <s v="Yes"/>
    <n v="2"/>
    <x v="1"/>
    <x v="2"/>
    <n v="43"/>
    <x v="0"/>
    <x v="1"/>
  </r>
  <r>
    <n v="11255"/>
    <x v="0"/>
    <x v="1"/>
    <n v="70000"/>
    <x v="1"/>
    <n v="4"/>
    <x v="4"/>
    <s v="Management"/>
    <s v="Yes"/>
    <n v="2"/>
    <x v="2"/>
    <x v="2"/>
    <n v="73"/>
    <x v="1"/>
    <x v="0"/>
  </r>
  <r>
    <n v="28090"/>
    <x v="0"/>
    <x v="1"/>
    <n v="40000"/>
    <x v="0"/>
    <n v="0"/>
    <x v="1"/>
    <s v="Skilled Manual"/>
    <s v="Yes"/>
    <n v="1"/>
    <x v="2"/>
    <x v="2"/>
    <n v="27"/>
    <x v="3"/>
    <x v="0"/>
  </r>
  <r>
    <n v="15255"/>
    <x v="0"/>
    <x v="1"/>
    <n v="40000"/>
    <x v="0"/>
    <n v="0"/>
    <x v="2"/>
    <s v="Skilled Manual"/>
    <s v="Yes"/>
    <n v="2"/>
    <x v="2"/>
    <x v="2"/>
    <n v="28"/>
    <x v="3"/>
    <x v="1"/>
  </r>
  <r>
    <n v="13154"/>
    <x v="0"/>
    <x v="1"/>
    <n v="40000"/>
    <x v="0"/>
    <n v="0"/>
    <x v="2"/>
    <s v="Skilled Manual"/>
    <s v="No"/>
    <n v="2"/>
    <x v="0"/>
    <x v="2"/>
    <n v="27"/>
    <x v="3"/>
    <x v="1"/>
  </r>
  <r>
    <n v="26778"/>
    <x v="1"/>
    <x v="0"/>
    <n v="40000"/>
    <x v="0"/>
    <n v="0"/>
    <x v="2"/>
    <s v="Skilled Manual"/>
    <s v="Yes"/>
    <n v="2"/>
    <x v="2"/>
    <x v="2"/>
    <n v="31"/>
    <x v="0"/>
    <x v="0"/>
  </r>
  <r>
    <n v="23248"/>
    <x v="0"/>
    <x v="0"/>
    <n v="10000"/>
    <x v="2"/>
    <n v="2"/>
    <x v="2"/>
    <s v="Manual"/>
    <s v="Yes"/>
    <n v="2"/>
    <x v="3"/>
    <x v="2"/>
    <n v="53"/>
    <x v="2"/>
    <x v="0"/>
  </r>
  <r>
    <n v="21417"/>
    <x v="1"/>
    <x v="0"/>
    <n v="60000"/>
    <x v="1"/>
    <n v="0"/>
    <x v="1"/>
    <s v="Professional"/>
    <s v="No"/>
    <n v="2"/>
    <x v="3"/>
    <x v="2"/>
    <n v="32"/>
    <x v="0"/>
    <x v="1"/>
  </r>
  <r>
    <n v="17668"/>
    <x v="1"/>
    <x v="1"/>
    <n v="30000"/>
    <x v="0"/>
    <n v="2"/>
    <x v="2"/>
    <s v="Skilled Manual"/>
    <s v="Yes"/>
    <n v="2"/>
    <x v="3"/>
    <x v="2"/>
    <n v="50"/>
    <x v="2"/>
    <x v="1"/>
  </r>
  <r>
    <n v="27994"/>
    <x v="0"/>
    <x v="0"/>
    <n v="40000"/>
    <x v="0"/>
    <n v="4"/>
    <x v="2"/>
    <s v="Professional"/>
    <s v="Yes"/>
    <n v="2"/>
    <x v="2"/>
    <x v="2"/>
    <n v="69"/>
    <x v="1"/>
    <x v="0"/>
  </r>
  <r>
    <n v="20376"/>
    <x v="1"/>
    <x v="0"/>
    <n v="70000"/>
    <x v="1"/>
    <n v="3"/>
    <x v="4"/>
    <s v="Management"/>
    <s v="Yes"/>
    <n v="2"/>
    <x v="2"/>
    <x v="2"/>
    <n v="52"/>
    <x v="2"/>
    <x v="1"/>
  </r>
  <r>
    <n v="25954"/>
    <x v="0"/>
    <x v="1"/>
    <n v="60000"/>
    <x v="1"/>
    <n v="0"/>
    <x v="1"/>
    <s v="Skilled Manual"/>
    <s v="No"/>
    <n v="2"/>
    <x v="3"/>
    <x v="2"/>
    <n v="31"/>
    <x v="0"/>
    <x v="0"/>
  </r>
  <r>
    <n v="15749"/>
    <x v="1"/>
    <x v="0"/>
    <n v="70000"/>
    <x v="1"/>
    <n v="4"/>
    <x v="0"/>
    <s v="Management"/>
    <s v="Yes"/>
    <n v="2"/>
    <x v="4"/>
    <x v="2"/>
    <n v="61"/>
    <x v="1"/>
    <x v="0"/>
  </r>
  <r>
    <n v="25899"/>
    <x v="0"/>
    <x v="0"/>
    <n v="70000"/>
    <x v="1"/>
    <n v="2"/>
    <x v="2"/>
    <s v="Professional"/>
    <s v="Yes"/>
    <n v="2"/>
    <x v="4"/>
    <x v="2"/>
    <n v="53"/>
    <x v="2"/>
    <x v="0"/>
  </r>
  <r>
    <n v="13351"/>
    <x v="1"/>
    <x v="0"/>
    <n v="70000"/>
    <x v="1"/>
    <n v="4"/>
    <x v="0"/>
    <s v="Management"/>
    <s v="Yes"/>
    <n v="2"/>
    <x v="3"/>
    <x v="2"/>
    <n v="62"/>
    <x v="1"/>
    <x v="1"/>
  </r>
  <r>
    <n v="23333"/>
    <x v="0"/>
    <x v="1"/>
    <n v="40000"/>
    <x v="0"/>
    <n v="0"/>
    <x v="1"/>
    <s v="Skilled Manual"/>
    <s v="No"/>
    <n v="2"/>
    <x v="3"/>
    <x v="2"/>
    <n v="30"/>
    <x v="0"/>
    <x v="0"/>
  </r>
  <r>
    <n v="21660"/>
    <x v="0"/>
    <x v="0"/>
    <n v="60000"/>
    <x v="1"/>
    <n v="3"/>
    <x v="4"/>
    <s v="Professional"/>
    <s v="Yes"/>
    <n v="0"/>
    <x v="1"/>
    <x v="2"/>
    <n v="43"/>
    <x v="0"/>
    <x v="1"/>
  </r>
  <r>
    <n v="17012"/>
    <x v="0"/>
    <x v="0"/>
    <n v="60000"/>
    <x v="1"/>
    <n v="3"/>
    <x v="4"/>
    <s v="Professional"/>
    <s v="Yes"/>
    <n v="0"/>
    <x v="1"/>
    <x v="2"/>
    <n v="42"/>
    <x v="0"/>
    <x v="1"/>
  </r>
  <r>
    <n v="24514"/>
    <x v="0"/>
    <x v="1"/>
    <n v="40000"/>
    <x v="0"/>
    <n v="0"/>
    <x v="1"/>
    <s v="Skilled Manual"/>
    <s v="Yes"/>
    <n v="1"/>
    <x v="2"/>
    <x v="2"/>
    <n v="30"/>
    <x v="0"/>
    <x v="0"/>
  </r>
  <r>
    <n v="27505"/>
    <x v="1"/>
    <x v="0"/>
    <n v="40000"/>
    <x v="0"/>
    <n v="0"/>
    <x v="2"/>
    <s v="Skilled Manual"/>
    <s v="Yes"/>
    <n v="2"/>
    <x v="2"/>
    <x v="2"/>
    <n v="30"/>
    <x v="0"/>
    <x v="0"/>
  </r>
  <r>
    <n v="29243"/>
    <x v="1"/>
    <x v="1"/>
    <n v="110000"/>
    <x v="4"/>
    <n v="1"/>
    <x v="0"/>
    <s v="Management"/>
    <s v="Yes"/>
    <n v="1"/>
    <x v="2"/>
    <x v="2"/>
    <n v="43"/>
    <x v="0"/>
    <x v="0"/>
  </r>
  <r>
    <n v="26582"/>
    <x v="0"/>
    <x v="1"/>
    <n v="60000"/>
    <x v="1"/>
    <n v="0"/>
    <x v="1"/>
    <s v="Skilled Manual"/>
    <s v="Yes"/>
    <n v="2"/>
    <x v="2"/>
    <x v="2"/>
    <n v="33"/>
    <x v="0"/>
    <x v="1"/>
  </r>
  <r>
    <n v="14271"/>
    <x v="0"/>
    <x v="1"/>
    <n v="30000"/>
    <x v="0"/>
    <n v="0"/>
    <x v="2"/>
    <s v="Skilled Manual"/>
    <s v="Yes"/>
    <n v="2"/>
    <x v="2"/>
    <x v="2"/>
    <n v="32"/>
    <x v="0"/>
    <x v="0"/>
  </r>
  <r>
    <n v="23041"/>
    <x v="1"/>
    <x v="0"/>
    <n v="70000"/>
    <x v="1"/>
    <n v="4"/>
    <x v="2"/>
    <s v="Professional"/>
    <s v="Yes"/>
    <n v="0"/>
    <x v="2"/>
    <x v="2"/>
    <n v="50"/>
    <x v="2"/>
    <x v="1"/>
  </r>
  <r>
    <n v="29048"/>
    <x v="1"/>
    <x v="1"/>
    <n v="110000"/>
    <x v="4"/>
    <n v="2"/>
    <x v="0"/>
    <s v="Management"/>
    <s v="No"/>
    <n v="3"/>
    <x v="0"/>
    <x v="2"/>
    <n v="37"/>
    <x v="0"/>
    <x v="1"/>
  </r>
  <r>
    <n v="24433"/>
    <x v="0"/>
    <x v="1"/>
    <n v="70000"/>
    <x v="1"/>
    <n v="3"/>
    <x v="2"/>
    <s v="Professional"/>
    <s v="No"/>
    <n v="1"/>
    <x v="3"/>
    <x v="2"/>
    <n v="52"/>
    <x v="2"/>
    <x v="1"/>
  </r>
  <r>
    <n v="15501"/>
    <x v="0"/>
    <x v="1"/>
    <n v="70000"/>
    <x v="1"/>
    <n v="4"/>
    <x v="4"/>
    <s v="Professional"/>
    <s v="Yes"/>
    <n v="0"/>
    <x v="1"/>
    <x v="2"/>
    <n v="36"/>
    <x v="0"/>
    <x v="1"/>
  </r>
  <r>
    <n v="13911"/>
    <x v="1"/>
    <x v="0"/>
    <n v="80000"/>
    <x v="1"/>
    <n v="3"/>
    <x v="0"/>
    <s v="Skilled Manual"/>
    <s v="Yes"/>
    <n v="2"/>
    <x v="1"/>
    <x v="2"/>
    <n v="41"/>
    <x v="0"/>
    <x v="1"/>
  </r>
  <r>
    <n v="20421"/>
    <x v="1"/>
    <x v="0"/>
    <n v="40000"/>
    <x v="0"/>
    <n v="0"/>
    <x v="3"/>
    <s v="Clerical"/>
    <s v="Yes"/>
    <n v="2"/>
    <x v="2"/>
    <x v="2"/>
    <n v="26"/>
    <x v="3"/>
    <x v="0"/>
  </r>
  <r>
    <n v="16009"/>
    <x v="1"/>
    <x v="1"/>
    <n v="170000"/>
    <x v="3"/>
    <n v="1"/>
    <x v="4"/>
    <s v="Management"/>
    <s v="No"/>
    <n v="4"/>
    <x v="0"/>
    <x v="2"/>
    <n v="66"/>
    <x v="1"/>
    <x v="0"/>
  </r>
  <r>
    <n v="18411"/>
    <x v="0"/>
    <x v="1"/>
    <n v="60000"/>
    <x v="1"/>
    <n v="2"/>
    <x v="2"/>
    <s v="Professional"/>
    <s v="No"/>
    <n v="2"/>
    <x v="2"/>
    <x v="2"/>
    <n v="51"/>
    <x v="2"/>
    <x v="0"/>
  </r>
  <r>
    <n v="19163"/>
    <x v="0"/>
    <x v="0"/>
    <n v="70000"/>
    <x v="1"/>
    <n v="4"/>
    <x v="0"/>
    <s v="Professional"/>
    <s v="Yes"/>
    <n v="2"/>
    <x v="0"/>
    <x v="2"/>
    <n v="43"/>
    <x v="0"/>
    <x v="1"/>
  </r>
  <r>
    <n v="18572"/>
    <x v="0"/>
    <x v="0"/>
    <n v="60000"/>
    <x v="1"/>
    <n v="0"/>
    <x v="4"/>
    <s v="Professional"/>
    <s v="Yes"/>
    <n v="0"/>
    <x v="0"/>
    <x v="2"/>
    <n v="39"/>
    <x v="0"/>
    <x v="0"/>
  </r>
  <r>
    <n v="27540"/>
    <x v="1"/>
    <x v="0"/>
    <n v="70000"/>
    <x v="1"/>
    <n v="0"/>
    <x v="0"/>
    <s v="Professional"/>
    <s v="No"/>
    <n v="1"/>
    <x v="0"/>
    <x v="2"/>
    <n v="37"/>
    <x v="0"/>
    <x v="1"/>
  </r>
  <r>
    <n v="19889"/>
    <x v="1"/>
    <x v="0"/>
    <n v="70000"/>
    <x v="1"/>
    <n v="2"/>
    <x v="3"/>
    <s v="Skilled Manual"/>
    <s v="No"/>
    <n v="2"/>
    <x v="1"/>
    <x v="2"/>
    <n v="54"/>
    <x v="2"/>
    <x v="1"/>
  </r>
  <r>
    <n v="12922"/>
    <x v="1"/>
    <x v="0"/>
    <n v="60000"/>
    <x v="1"/>
    <n v="3"/>
    <x v="0"/>
    <s v="Skilled Manual"/>
    <s v="Yes"/>
    <n v="0"/>
    <x v="1"/>
    <x v="2"/>
    <n v="40"/>
    <x v="0"/>
    <x v="1"/>
  </r>
  <r>
    <n v="18891"/>
    <x v="0"/>
    <x v="0"/>
    <n v="40000"/>
    <x v="0"/>
    <n v="0"/>
    <x v="1"/>
    <s v="Skilled Manual"/>
    <s v="Yes"/>
    <n v="2"/>
    <x v="2"/>
    <x v="2"/>
    <n v="28"/>
    <x v="3"/>
    <x v="0"/>
  </r>
  <r>
    <n v="16773"/>
    <x v="0"/>
    <x v="1"/>
    <n v="60000"/>
    <x v="1"/>
    <n v="1"/>
    <x v="4"/>
    <s v="Skilled Manual"/>
    <s v="Yes"/>
    <n v="0"/>
    <x v="0"/>
    <x v="2"/>
    <n v="33"/>
    <x v="0"/>
    <x v="0"/>
  </r>
  <r>
    <n v="19143"/>
    <x v="1"/>
    <x v="0"/>
    <n v="80000"/>
    <x v="1"/>
    <n v="3"/>
    <x v="0"/>
    <s v="Skilled Manual"/>
    <s v="Yes"/>
    <n v="2"/>
    <x v="1"/>
    <x v="2"/>
    <n v="41"/>
    <x v="0"/>
    <x v="1"/>
  </r>
  <r>
    <n v="23882"/>
    <x v="1"/>
    <x v="0"/>
    <n v="80000"/>
    <x v="1"/>
    <n v="3"/>
    <x v="4"/>
    <s v="Professional"/>
    <s v="Yes"/>
    <n v="0"/>
    <x v="0"/>
    <x v="2"/>
    <n v="37"/>
    <x v="0"/>
    <x v="1"/>
  </r>
  <r>
    <n v="11233"/>
    <x v="0"/>
    <x v="1"/>
    <n v="70000"/>
    <x v="1"/>
    <n v="4"/>
    <x v="1"/>
    <s v="Professional"/>
    <s v="Yes"/>
    <n v="2"/>
    <x v="4"/>
    <x v="2"/>
    <n v="53"/>
    <x v="2"/>
    <x v="0"/>
  </r>
  <r>
    <n v="12056"/>
    <x v="0"/>
    <x v="1"/>
    <n v="120000"/>
    <x v="4"/>
    <n v="2"/>
    <x v="4"/>
    <s v="Management"/>
    <s v="Yes"/>
    <n v="3"/>
    <x v="2"/>
    <x v="2"/>
    <n v="64"/>
    <x v="1"/>
    <x v="0"/>
  </r>
  <r>
    <n v="15555"/>
    <x v="0"/>
    <x v="0"/>
    <n v="60000"/>
    <x v="1"/>
    <n v="1"/>
    <x v="1"/>
    <s v="Skilled Manual"/>
    <s v="Yes"/>
    <n v="1"/>
    <x v="1"/>
    <x v="2"/>
    <n v="45"/>
    <x v="2"/>
    <x v="1"/>
  </r>
  <r>
    <n v="18423"/>
    <x v="1"/>
    <x v="1"/>
    <n v="80000"/>
    <x v="1"/>
    <n v="2"/>
    <x v="3"/>
    <s v="Skilled Manual"/>
    <s v="No"/>
    <n v="2"/>
    <x v="3"/>
    <x v="2"/>
    <n v="52"/>
    <x v="2"/>
    <x v="0"/>
  </r>
  <r>
    <n v="22743"/>
    <x v="0"/>
    <x v="0"/>
    <n v="40000"/>
    <x v="0"/>
    <n v="5"/>
    <x v="2"/>
    <s v="Professional"/>
    <s v="Yes"/>
    <n v="2"/>
    <x v="4"/>
    <x v="2"/>
    <n v="60"/>
    <x v="1"/>
    <x v="0"/>
  </r>
  <r>
    <n v="25343"/>
    <x v="1"/>
    <x v="0"/>
    <n v="20000"/>
    <x v="0"/>
    <n v="3"/>
    <x v="3"/>
    <s v="Clerical"/>
    <s v="Yes"/>
    <n v="2"/>
    <x v="3"/>
    <x v="2"/>
    <n v="50"/>
    <x v="2"/>
    <x v="0"/>
  </r>
  <r>
    <n v="13390"/>
    <x v="0"/>
    <x v="0"/>
    <n v="70000"/>
    <x v="1"/>
    <n v="4"/>
    <x v="1"/>
    <s v="Professional"/>
    <s v="No"/>
    <n v="1"/>
    <x v="3"/>
    <x v="2"/>
    <n v="56"/>
    <x v="2"/>
    <x v="0"/>
  </r>
  <r>
    <n v="17482"/>
    <x v="1"/>
    <x v="0"/>
    <n v="40000"/>
    <x v="0"/>
    <n v="0"/>
    <x v="3"/>
    <s v="Clerical"/>
    <s v="Yes"/>
    <n v="2"/>
    <x v="2"/>
    <x v="2"/>
    <n v="29"/>
    <x v="3"/>
    <x v="0"/>
  </r>
  <r>
    <n v="13176"/>
    <x v="1"/>
    <x v="1"/>
    <n v="130000"/>
    <x v="4"/>
    <n v="0"/>
    <x v="4"/>
    <s v="Management"/>
    <s v="No"/>
    <n v="2"/>
    <x v="0"/>
    <x v="2"/>
    <n v="38"/>
    <x v="0"/>
    <x v="1"/>
  </r>
  <r>
    <n v="20504"/>
    <x v="0"/>
    <x v="0"/>
    <n v="40000"/>
    <x v="0"/>
    <n v="5"/>
    <x v="2"/>
    <s v="Professional"/>
    <s v="No"/>
    <n v="2"/>
    <x v="1"/>
    <x v="2"/>
    <n v="60"/>
    <x v="1"/>
    <x v="0"/>
  </r>
  <r>
    <n v="12205"/>
    <x v="1"/>
    <x v="0"/>
    <n v="130000"/>
    <x v="4"/>
    <n v="2"/>
    <x v="0"/>
    <s v="Management"/>
    <s v="No"/>
    <n v="4"/>
    <x v="0"/>
    <x v="2"/>
    <n v="67"/>
    <x v="1"/>
    <x v="0"/>
  </r>
  <r>
    <n v="16751"/>
    <x v="0"/>
    <x v="1"/>
    <n v="60000"/>
    <x v="1"/>
    <n v="0"/>
    <x v="1"/>
    <s v="Skilled Manual"/>
    <s v="Yes"/>
    <n v="1"/>
    <x v="2"/>
    <x v="2"/>
    <n v="32"/>
    <x v="0"/>
    <x v="1"/>
  </r>
  <r>
    <n v="21613"/>
    <x v="1"/>
    <x v="1"/>
    <n v="50000"/>
    <x v="0"/>
    <n v="2"/>
    <x v="0"/>
    <s v="Skilled Manual"/>
    <s v="No"/>
    <n v="1"/>
    <x v="0"/>
    <x v="2"/>
    <n v="39"/>
    <x v="0"/>
    <x v="1"/>
  </r>
  <r>
    <n v="24801"/>
    <x v="1"/>
    <x v="1"/>
    <n v="60000"/>
    <x v="1"/>
    <n v="1"/>
    <x v="4"/>
    <s v="Professional"/>
    <s v="Yes"/>
    <n v="0"/>
    <x v="1"/>
    <x v="2"/>
    <n v="35"/>
    <x v="0"/>
    <x v="1"/>
  </r>
  <r>
    <n v="17519"/>
    <x v="0"/>
    <x v="0"/>
    <n v="60000"/>
    <x v="1"/>
    <n v="0"/>
    <x v="1"/>
    <s v="Professional"/>
    <s v="Yes"/>
    <n v="2"/>
    <x v="2"/>
    <x v="2"/>
    <n v="32"/>
    <x v="0"/>
    <x v="0"/>
  </r>
  <r>
    <n v="18347"/>
    <x v="1"/>
    <x v="0"/>
    <n v="30000"/>
    <x v="0"/>
    <n v="0"/>
    <x v="1"/>
    <s v="Skilled Manual"/>
    <s v="No"/>
    <n v="1"/>
    <x v="3"/>
    <x v="2"/>
    <n v="31"/>
    <x v="0"/>
    <x v="0"/>
  </r>
  <r>
    <n v="29052"/>
    <x v="1"/>
    <x v="1"/>
    <n v="40000"/>
    <x v="0"/>
    <n v="0"/>
    <x v="1"/>
    <s v="Skilled Manual"/>
    <s v="Yes"/>
    <n v="1"/>
    <x v="2"/>
    <x v="2"/>
    <n v="27"/>
    <x v="3"/>
    <x v="0"/>
  </r>
  <r>
    <n v="11745"/>
    <x v="0"/>
    <x v="0"/>
    <n v="60000"/>
    <x v="1"/>
    <n v="1"/>
    <x v="0"/>
    <s v="Professional"/>
    <s v="Yes"/>
    <n v="1"/>
    <x v="0"/>
    <x v="2"/>
    <n v="47"/>
    <x v="2"/>
    <x v="1"/>
  </r>
  <r>
    <n v="19147"/>
    <x v="0"/>
    <x v="1"/>
    <n v="40000"/>
    <x v="0"/>
    <n v="0"/>
    <x v="0"/>
    <s v="Professional"/>
    <s v="No"/>
    <n v="1"/>
    <x v="0"/>
    <x v="2"/>
    <n v="42"/>
    <x v="0"/>
    <x v="0"/>
  </r>
  <r>
    <n v="19217"/>
    <x v="0"/>
    <x v="1"/>
    <n v="30000"/>
    <x v="0"/>
    <n v="2"/>
    <x v="2"/>
    <s v="Skilled Manual"/>
    <s v="Yes"/>
    <n v="2"/>
    <x v="3"/>
    <x v="2"/>
    <n v="49"/>
    <x v="2"/>
    <x v="0"/>
  </r>
  <r>
    <n v="15839"/>
    <x v="1"/>
    <x v="1"/>
    <n v="30000"/>
    <x v="0"/>
    <n v="0"/>
    <x v="1"/>
    <s v="Skilled Manual"/>
    <s v="Yes"/>
    <n v="1"/>
    <x v="2"/>
    <x v="2"/>
    <n v="32"/>
    <x v="0"/>
    <x v="0"/>
  </r>
  <r>
    <n v="13714"/>
    <x v="0"/>
    <x v="0"/>
    <n v="20000"/>
    <x v="0"/>
    <n v="2"/>
    <x v="2"/>
    <s v="Manual"/>
    <s v="No"/>
    <n v="2"/>
    <x v="3"/>
    <x v="2"/>
    <n v="53"/>
    <x v="2"/>
    <x v="1"/>
  </r>
  <r>
    <n v="22330"/>
    <x v="0"/>
    <x v="1"/>
    <n v="50000"/>
    <x v="0"/>
    <n v="0"/>
    <x v="4"/>
    <s v="Skilled Manual"/>
    <s v="Yes"/>
    <n v="0"/>
    <x v="3"/>
    <x v="2"/>
    <n v="32"/>
    <x v="0"/>
    <x v="1"/>
  </r>
  <r>
    <n v="18783"/>
    <x v="1"/>
    <x v="1"/>
    <n v="80000"/>
    <x v="1"/>
    <n v="0"/>
    <x v="0"/>
    <s v="Management"/>
    <s v="No"/>
    <n v="1"/>
    <x v="0"/>
    <x v="2"/>
    <n v="38"/>
    <x v="0"/>
    <x v="1"/>
  </r>
  <r>
    <n v="25041"/>
    <x v="1"/>
    <x v="1"/>
    <n v="40000"/>
    <x v="0"/>
    <n v="0"/>
    <x v="2"/>
    <s v="Skilled Manual"/>
    <s v="Yes"/>
    <n v="2"/>
    <x v="2"/>
    <x v="2"/>
    <n v="31"/>
    <x v="0"/>
    <x v="0"/>
  </r>
  <r>
    <n v="22046"/>
    <x v="1"/>
    <x v="0"/>
    <n v="80000"/>
    <x v="1"/>
    <n v="0"/>
    <x v="0"/>
    <s v="Management"/>
    <s v="No"/>
    <n v="1"/>
    <x v="0"/>
    <x v="2"/>
    <n v="38"/>
    <x v="0"/>
    <x v="1"/>
  </r>
  <r>
    <n v="28052"/>
    <x v="0"/>
    <x v="1"/>
    <n v="60000"/>
    <x v="1"/>
    <n v="2"/>
    <x v="2"/>
    <s v="Professional"/>
    <s v="Yes"/>
    <n v="2"/>
    <x v="4"/>
    <x v="2"/>
    <n v="55"/>
    <x v="2"/>
    <x v="0"/>
  </r>
  <r>
    <n v="26693"/>
    <x v="0"/>
    <x v="1"/>
    <n v="70000"/>
    <x v="1"/>
    <n v="3"/>
    <x v="1"/>
    <s v="Professional"/>
    <s v="Yes"/>
    <n v="1"/>
    <x v="2"/>
    <x v="2"/>
    <n v="49"/>
    <x v="2"/>
    <x v="0"/>
  </r>
  <r>
    <n v="24955"/>
    <x v="1"/>
    <x v="1"/>
    <n v="30000"/>
    <x v="0"/>
    <n v="5"/>
    <x v="3"/>
    <s v="Skilled Manual"/>
    <s v="Yes"/>
    <n v="3"/>
    <x v="4"/>
    <x v="2"/>
    <n v="60"/>
    <x v="1"/>
    <x v="1"/>
  </r>
  <r>
    <n v="26065"/>
    <x v="1"/>
    <x v="0"/>
    <n v="110000"/>
    <x v="4"/>
    <n v="3"/>
    <x v="0"/>
    <s v="Management"/>
    <s v="No"/>
    <n v="4"/>
    <x v="3"/>
    <x v="2"/>
    <n v="42"/>
    <x v="0"/>
    <x v="0"/>
  </r>
  <r>
    <n v="13942"/>
    <x v="0"/>
    <x v="1"/>
    <n v="60000"/>
    <x v="1"/>
    <n v="1"/>
    <x v="1"/>
    <s v="Skilled Manual"/>
    <s v="Yes"/>
    <n v="1"/>
    <x v="0"/>
    <x v="2"/>
    <n v="46"/>
    <x v="2"/>
    <x v="0"/>
  </r>
  <r>
    <n v="11219"/>
    <x v="0"/>
    <x v="1"/>
    <n v="60000"/>
    <x v="1"/>
    <n v="2"/>
    <x v="2"/>
    <s v="Professional"/>
    <s v="Yes"/>
    <n v="2"/>
    <x v="4"/>
    <x v="2"/>
    <n v="55"/>
    <x v="2"/>
    <x v="0"/>
  </r>
  <r>
    <n v="22118"/>
    <x v="1"/>
    <x v="0"/>
    <n v="70000"/>
    <x v="1"/>
    <n v="3"/>
    <x v="4"/>
    <s v="Management"/>
    <s v="Yes"/>
    <n v="2"/>
    <x v="2"/>
    <x v="2"/>
    <n v="53"/>
    <x v="2"/>
    <x v="1"/>
  </r>
  <r>
    <n v="23197"/>
    <x v="0"/>
    <x v="1"/>
    <n v="50000"/>
    <x v="0"/>
    <n v="3"/>
    <x v="0"/>
    <s v="Skilled Manual"/>
    <s v="Yes"/>
    <n v="2"/>
    <x v="1"/>
    <x v="2"/>
    <n v="40"/>
    <x v="0"/>
    <x v="0"/>
  </r>
  <r>
    <n v="14883"/>
    <x v="0"/>
    <x v="0"/>
    <n v="30000"/>
    <x v="0"/>
    <n v="1"/>
    <x v="0"/>
    <s v="Skilled Manual"/>
    <s v="Yes"/>
    <n v="1"/>
    <x v="2"/>
    <x v="2"/>
    <n v="53"/>
    <x v="2"/>
    <x v="1"/>
  </r>
  <r>
    <n v="27279"/>
    <x v="1"/>
    <x v="0"/>
    <n v="70000"/>
    <x v="1"/>
    <n v="2"/>
    <x v="0"/>
    <s v="Skilled Manual"/>
    <s v="Yes"/>
    <n v="0"/>
    <x v="1"/>
    <x v="2"/>
    <n v="38"/>
    <x v="0"/>
    <x v="1"/>
  </r>
  <r>
    <n v="18322"/>
    <x v="1"/>
    <x v="1"/>
    <n v="30000"/>
    <x v="0"/>
    <n v="0"/>
    <x v="3"/>
    <s v="Clerical"/>
    <s v="No"/>
    <n v="2"/>
    <x v="0"/>
    <x v="2"/>
    <n v="26"/>
    <x v="3"/>
    <x v="0"/>
  </r>
  <r>
    <n v="15879"/>
    <x v="0"/>
    <x v="1"/>
    <n v="70000"/>
    <x v="1"/>
    <n v="5"/>
    <x v="0"/>
    <s v="Management"/>
    <s v="Yes"/>
    <n v="2"/>
    <x v="1"/>
    <x v="2"/>
    <n v="61"/>
    <x v="1"/>
    <x v="0"/>
  </r>
  <r>
    <n v="28278"/>
    <x v="0"/>
    <x v="1"/>
    <n v="50000"/>
    <x v="0"/>
    <n v="2"/>
    <x v="4"/>
    <s v="Management"/>
    <s v="Yes"/>
    <n v="2"/>
    <x v="2"/>
    <x v="2"/>
    <n v="71"/>
    <x v="1"/>
    <x v="0"/>
  </r>
  <r>
    <n v="24416"/>
    <x v="0"/>
    <x v="1"/>
    <n v="90000"/>
    <x v="1"/>
    <n v="4"/>
    <x v="2"/>
    <s v="Professional"/>
    <s v="Yes"/>
    <n v="2"/>
    <x v="3"/>
    <x v="2"/>
    <n v="45"/>
    <x v="2"/>
    <x v="0"/>
  </r>
  <r>
    <n v="28066"/>
    <x v="0"/>
    <x v="1"/>
    <n v="80000"/>
    <x v="1"/>
    <n v="2"/>
    <x v="4"/>
    <s v="Professional"/>
    <s v="Yes"/>
    <n v="0"/>
    <x v="0"/>
    <x v="2"/>
    <n v="37"/>
    <x v="0"/>
    <x v="1"/>
  </r>
  <r>
    <n v="11275"/>
    <x v="0"/>
    <x v="0"/>
    <n v="80000"/>
    <x v="1"/>
    <n v="4"/>
    <x v="4"/>
    <s v="Management"/>
    <s v="Yes"/>
    <n v="2"/>
    <x v="0"/>
    <x v="2"/>
    <n v="72"/>
    <x v="1"/>
    <x v="1"/>
  </r>
  <r>
    <n v="14872"/>
    <x v="0"/>
    <x v="1"/>
    <n v="30000"/>
    <x v="0"/>
    <n v="0"/>
    <x v="4"/>
    <s v="Skilled Manual"/>
    <s v="Yes"/>
    <n v="0"/>
    <x v="0"/>
    <x v="2"/>
    <n v="32"/>
    <x v="0"/>
    <x v="0"/>
  </r>
  <r>
    <n v="16151"/>
    <x v="0"/>
    <x v="0"/>
    <n v="60000"/>
    <x v="1"/>
    <n v="1"/>
    <x v="0"/>
    <s v="Professional"/>
    <s v="Yes"/>
    <n v="1"/>
    <x v="1"/>
    <x v="2"/>
    <n v="48"/>
    <x v="2"/>
    <x v="1"/>
  </r>
  <r>
    <n v="19731"/>
    <x v="0"/>
    <x v="1"/>
    <n v="80000"/>
    <x v="1"/>
    <n v="4"/>
    <x v="4"/>
    <s v="Management"/>
    <s v="Yes"/>
    <n v="2"/>
    <x v="2"/>
    <x v="2"/>
    <n v="68"/>
    <x v="1"/>
    <x v="0"/>
  </r>
  <r>
    <n v="23801"/>
    <x v="0"/>
    <x v="0"/>
    <n v="20000"/>
    <x v="0"/>
    <n v="2"/>
    <x v="3"/>
    <s v="Clerical"/>
    <s v="Yes"/>
    <n v="2"/>
    <x v="0"/>
    <x v="2"/>
    <n v="49"/>
    <x v="2"/>
    <x v="0"/>
  </r>
  <r>
    <n v="11807"/>
    <x v="0"/>
    <x v="1"/>
    <n v="70000"/>
    <x v="1"/>
    <n v="3"/>
    <x v="4"/>
    <s v="Professional"/>
    <s v="Yes"/>
    <n v="0"/>
    <x v="1"/>
    <x v="2"/>
    <n v="34"/>
    <x v="0"/>
    <x v="0"/>
  </r>
  <r>
    <n v="11622"/>
    <x v="0"/>
    <x v="1"/>
    <n v="50000"/>
    <x v="0"/>
    <n v="0"/>
    <x v="4"/>
    <s v="Skilled Manual"/>
    <s v="Yes"/>
    <n v="0"/>
    <x v="0"/>
    <x v="2"/>
    <n v="32"/>
    <x v="0"/>
    <x v="0"/>
  </r>
  <r>
    <n v="26597"/>
    <x v="1"/>
    <x v="0"/>
    <n v="60000"/>
    <x v="1"/>
    <n v="4"/>
    <x v="0"/>
    <s v="Skilled Manual"/>
    <s v="No"/>
    <n v="2"/>
    <x v="0"/>
    <x v="2"/>
    <n v="42"/>
    <x v="0"/>
    <x v="0"/>
  </r>
  <r>
    <n v="27074"/>
    <x v="0"/>
    <x v="0"/>
    <n v="70000"/>
    <x v="1"/>
    <n v="1"/>
    <x v="4"/>
    <s v="Skilled Manual"/>
    <s v="Yes"/>
    <n v="0"/>
    <x v="0"/>
    <x v="2"/>
    <n v="35"/>
    <x v="0"/>
    <x v="1"/>
  </r>
  <r>
    <n v="19228"/>
    <x v="0"/>
    <x v="0"/>
    <n v="40000"/>
    <x v="0"/>
    <n v="2"/>
    <x v="1"/>
    <s v="Clerical"/>
    <s v="Yes"/>
    <n v="1"/>
    <x v="0"/>
    <x v="2"/>
    <n v="48"/>
    <x v="2"/>
    <x v="0"/>
  </r>
  <r>
    <n v="13415"/>
    <x v="1"/>
    <x v="1"/>
    <n v="100000"/>
    <x v="4"/>
    <n v="1"/>
    <x v="4"/>
    <s v="Management"/>
    <s v="Yes"/>
    <n v="3"/>
    <x v="1"/>
    <x v="2"/>
    <n v="73"/>
    <x v="1"/>
    <x v="1"/>
  </r>
  <r>
    <n v="17000"/>
    <x v="1"/>
    <x v="0"/>
    <n v="70000"/>
    <x v="1"/>
    <n v="4"/>
    <x v="0"/>
    <s v="Skilled Manual"/>
    <s v="Yes"/>
    <n v="2"/>
    <x v="1"/>
    <x v="2"/>
    <n v="43"/>
    <x v="0"/>
    <x v="1"/>
  </r>
  <r>
    <n v="14569"/>
    <x v="0"/>
    <x v="1"/>
    <n v="60000"/>
    <x v="1"/>
    <n v="1"/>
    <x v="4"/>
    <s v="Professional"/>
    <s v="Yes"/>
    <n v="0"/>
    <x v="0"/>
    <x v="2"/>
    <n v="35"/>
    <x v="0"/>
    <x v="0"/>
  </r>
  <r>
    <n v="13873"/>
    <x v="0"/>
    <x v="1"/>
    <n v="70000"/>
    <x v="1"/>
    <n v="3"/>
    <x v="4"/>
    <s v="Professional"/>
    <s v="Yes"/>
    <n v="0"/>
    <x v="0"/>
    <x v="2"/>
    <n v="35"/>
    <x v="0"/>
    <x v="1"/>
  </r>
  <r>
    <n v="20401"/>
    <x v="0"/>
    <x v="0"/>
    <n v="50000"/>
    <x v="0"/>
    <n v="4"/>
    <x v="0"/>
    <s v="Management"/>
    <s v="Yes"/>
    <n v="2"/>
    <x v="3"/>
    <x v="2"/>
    <n v="64"/>
    <x v="1"/>
    <x v="1"/>
  </r>
  <r>
    <n v="21583"/>
    <x v="0"/>
    <x v="0"/>
    <n v="50000"/>
    <x v="0"/>
    <n v="1"/>
    <x v="0"/>
    <s v="Skilled Manual"/>
    <s v="Yes"/>
    <n v="0"/>
    <x v="0"/>
    <x v="2"/>
    <n v="34"/>
    <x v="0"/>
    <x v="1"/>
  </r>
  <r>
    <n v="12029"/>
    <x v="0"/>
    <x v="1"/>
    <n v="30000"/>
    <x v="0"/>
    <n v="0"/>
    <x v="3"/>
    <s v="Clerical"/>
    <s v="No"/>
    <n v="2"/>
    <x v="0"/>
    <x v="2"/>
    <n v="28"/>
    <x v="3"/>
    <x v="0"/>
  </r>
  <r>
    <n v="18066"/>
    <x v="1"/>
    <x v="1"/>
    <n v="70000"/>
    <x v="1"/>
    <n v="5"/>
    <x v="0"/>
    <s v="Management"/>
    <s v="Yes"/>
    <n v="3"/>
    <x v="4"/>
    <x v="2"/>
    <n v="60"/>
    <x v="1"/>
    <x v="1"/>
  </r>
  <r>
    <n v="28192"/>
    <x v="0"/>
    <x v="0"/>
    <n v="70000"/>
    <x v="1"/>
    <n v="5"/>
    <x v="4"/>
    <s v="Professional"/>
    <s v="Yes"/>
    <n v="3"/>
    <x v="4"/>
    <x v="2"/>
    <n v="46"/>
    <x v="2"/>
    <x v="0"/>
  </r>
  <r>
    <n v="16122"/>
    <x v="0"/>
    <x v="1"/>
    <n v="40000"/>
    <x v="0"/>
    <n v="4"/>
    <x v="2"/>
    <s v="Skilled Manual"/>
    <s v="Yes"/>
    <n v="2"/>
    <x v="0"/>
    <x v="2"/>
    <n v="44"/>
    <x v="0"/>
    <x v="1"/>
  </r>
  <r>
    <n v="18607"/>
    <x v="1"/>
    <x v="0"/>
    <n v="60000"/>
    <x v="1"/>
    <n v="4"/>
    <x v="0"/>
    <s v="Skilled Manual"/>
    <s v="Yes"/>
    <n v="2"/>
    <x v="1"/>
    <x v="2"/>
    <n v="42"/>
    <x v="0"/>
    <x v="1"/>
  </r>
  <r>
    <n v="28858"/>
    <x v="1"/>
    <x v="1"/>
    <n v="80000"/>
    <x v="1"/>
    <n v="3"/>
    <x v="0"/>
    <s v="Skilled Manual"/>
    <s v="Yes"/>
    <n v="0"/>
    <x v="1"/>
    <x v="2"/>
    <n v="40"/>
    <x v="0"/>
    <x v="0"/>
  </r>
  <r>
    <n v="14432"/>
    <x v="1"/>
    <x v="1"/>
    <n v="90000"/>
    <x v="1"/>
    <n v="4"/>
    <x v="4"/>
    <s v="Management"/>
    <s v="Yes"/>
    <n v="1"/>
    <x v="2"/>
    <x v="2"/>
    <n v="73"/>
    <x v="1"/>
    <x v="0"/>
  </r>
  <r>
    <n v="26305"/>
    <x v="1"/>
    <x v="0"/>
    <n v="60000"/>
    <x v="1"/>
    <n v="2"/>
    <x v="0"/>
    <s v="Skilled Manual"/>
    <s v="No"/>
    <n v="0"/>
    <x v="0"/>
    <x v="2"/>
    <n v="36"/>
    <x v="0"/>
    <x v="1"/>
  </r>
  <r>
    <n v="22050"/>
    <x v="1"/>
    <x v="1"/>
    <n v="90000"/>
    <x v="1"/>
    <n v="4"/>
    <x v="0"/>
    <s v="Management"/>
    <s v="Yes"/>
    <n v="1"/>
    <x v="3"/>
    <x v="2"/>
    <n v="38"/>
    <x v="0"/>
    <x v="1"/>
  </r>
  <r>
    <n v="25394"/>
    <x v="0"/>
    <x v="1"/>
    <n v="60000"/>
    <x v="1"/>
    <n v="1"/>
    <x v="4"/>
    <s v="Professional"/>
    <s v="Yes"/>
    <n v="0"/>
    <x v="1"/>
    <x v="2"/>
    <n v="34"/>
    <x v="0"/>
    <x v="1"/>
  </r>
  <r>
    <n v="19747"/>
    <x v="0"/>
    <x v="1"/>
    <n v="50000"/>
    <x v="0"/>
    <n v="4"/>
    <x v="0"/>
    <s v="Management"/>
    <s v="Yes"/>
    <n v="2"/>
    <x v="4"/>
    <x v="2"/>
    <n v="63"/>
    <x v="1"/>
    <x v="0"/>
  </r>
  <r>
    <n v="23195"/>
    <x v="1"/>
    <x v="1"/>
    <n v="50000"/>
    <x v="0"/>
    <n v="3"/>
    <x v="0"/>
    <s v="Skilled Manual"/>
    <s v="Yes"/>
    <n v="2"/>
    <x v="1"/>
    <x v="2"/>
    <n v="41"/>
    <x v="0"/>
    <x v="1"/>
  </r>
  <r>
    <n v="21695"/>
    <x v="0"/>
    <x v="1"/>
    <n v="60000"/>
    <x v="1"/>
    <n v="0"/>
    <x v="4"/>
    <s v="Skilled Manual"/>
    <s v="Yes"/>
    <n v="0"/>
    <x v="3"/>
    <x v="2"/>
    <n v="39"/>
    <x v="0"/>
    <x v="1"/>
  </r>
  <r>
    <n v="13934"/>
    <x v="0"/>
    <x v="1"/>
    <n v="40000"/>
    <x v="0"/>
    <n v="4"/>
    <x v="2"/>
    <s v="Skilled Manual"/>
    <s v="Yes"/>
    <n v="2"/>
    <x v="1"/>
    <x v="2"/>
    <n v="46"/>
    <x v="2"/>
    <x v="0"/>
  </r>
  <r>
    <n v="13337"/>
    <x v="0"/>
    <x v="0"/>
    <n v="80000"/>
    <x v="1"/>
    <n v="5"/>
    <x v="0"/>
    <s v="Management"/>
    <s v="Yes"/>
    <n v="2"/>
    <x v="2"/>
    <x v="2"/>
    <n v="64"/>
    <x v="1"/>
    <x v="0"/>
  </r>
  <r>
    <n v="27190"/>
    <x v="0"/>
    <x v="0"/>
    <n v="40000"/>
    <x v="0"/>
    <n v="3"/>
    <x v="1"/>
    <s v="Clerical"/>
    <s v="Yes"/>
    <n v="1"/>
    <x v="3"/>
    <x v="2"/>
    <n v="32"/>
    <x v="0"/>
    <x v="0"/>
  </r>
  <r>
    <n v="28657"/>
    <x v="1"/>
    <x v="1"/>
    <n v="60000"/>
    <x v="1"/>
    <n v="2"/>
    <x v="0"/>
    <s v="Skilled Manual"/>
    <s v="Yes"/>
    <n v="0"/>
    <x v="1"/>
    <x v="2"/>
    <n v="36"/>
    <x v="0"/>
    <x v="1"/>
  </r>
  <r>
    <n v="21713"/>
    <x v="1"/>
    <x v="1"/>
    <n v="80000"/>
    <x v="1"/>
    <n v="5"/>
    <x v="4"/>
    <s v="Skilled Manual"/>
    <s v="No"/>
    <n v="0"/>
    <x v="0"/>
    <x v="2"/>
    <n v="47"/>
    <x v="2"/>
    <x v="0"/>
  </r>
  <r>
    <n v="21752"/>
    <x v="0"/>
    <x v="1"/>
    <n v="60000"/>
    <x v="1"/>
    <n v="3"/>
    <x v="4"/>
    <s v="Management"/>
    <s v="Yes"/>
    <n v="2"/>
    <x v="4"/>
    <x v="2"/>
    <n v="64"/>
    <x v="1"/>
    <x v="0"/>
  </r>
  <r>
    <n v="27273"/>
    <x v="1"/>
    <x v="1"/>
    <n v="70000"/>
    <x v="1"/>
    <n v="3"/>
    <x v="4"/>
    <s v="Professional"/>
    <s v="No"/>
    <n v="0"/>
    <x v="0"/>
    <x v="2"/>
    <n v="35"/>
    <x v="0"/>
    <x v="1"/>
  </r>
  <r>
    <n v="22719"/>
    <x v="1"/>
    <x v="1"/>
    <n v="110000"/>
    <x v="4"/>
    <n v="3"/>
    <x v="0"/>
    <s v="Management"/>
    <s v="Yes"/>
    <n v="4"/>
    <x v="1"/>
    <x v="2"/>
    <n v="40"/>
    <x v="0"/>
    <x v="1"/>
  </r>
  <r>
    <n v="22042"/>
    <x v="0"/>
    <x v="0"/>
    <n v="70000"/>
    <x v="1"/>
    <n v="0"/>
    <x v="1"/>
    <s v="Skilled Manual"/>
    <s v="Yes"/>
    <n v="2"/>
    <x v="2"/>
    <x v="2"/>
    <n v="34"/>
    <x v="0"/>
    <x v="1"/>
  </r>
  <r>
    <n v="21451"/>
    <x v="0"/>
    <x v="0"/>
    <n v="40000"/>
    <x v="0"/>
    <n v="4"/>
    <x v="2"/>
    <s v="Professional"/>
    <s v="Yes"/>
    <n v="2"/>
    <x v="4"/>
    <x v="2"/>
    <n v="61"/>
    <x v="1"/>
    <x v="0"/>
  </r>
  <r>
    <n v="20754"/>
    <x v="0"/>
    <x v="1"/>
    <n v="30000"/>
    <x v="0"/>
    <n v="2"/>
    <x v="2"/>
    <s v="Skilled Manual"/>
    <s v="Yes"/>
    <n v="2"/>
    <x v="3"/>
    <x v="2"/>
    <n v="51"/>
    <x v="2"/>
    <x v="0"/>
  </r>
  <r>
    <n v="12153"/>
    <x v="1"/>
    <x v="0"/>
    <n v="70000"/>
    <x v="1"/>
    <n v="3"/>
    <x v="1"/>
    <s v="Professional"/>
    <s v="Yes"/>
    <n v="1"/>
    <x v="2"/>
    <x v="2"/>
    <n v="49"/>
    <x v="2"/>
    <x v="1"/>
  </r>
  <r>
    <n v="16895"/>
    <x v="0"/>
    <x v="0"/>
    <n v="40000"/>
    <x v="0"/>
    <n v="3"/>
    <x v="1"/>
    <s v="Professional"/>
    <s v="No"/>
    <n v="2"/>
    <x v="3"/>
    <x v="2"/>
    <n v="54"/>
    <x v="2"/>
    <x v="1"/>
  </r>
  <r>
    <n v="26728"/>
    <x v="1"/>
    <x v="1"/>
    <n v="70000"/>
    <x v="1"/>
    <n v="3"/>
    <x v="4"/>
    <s v="Management"/>
    <s v="No"/>
    <n v="2"/>
    <x v="3"/>
    <x v="2"/>
    <n v="53"/>
    <x v="2"/>
    <x v="1"/>
  </r>
  <r>
    <n v="11090"/>
    <x v="1"/>
    <x v="1"/>
    <n v="90000"/>
    <x v="1"/>
    <n v="2"/>
    <x v="1"/>
    <s v="Professional"/>
    <s v="Yes"/>
    <n v="1"/>
    <x v="1"/>
    <x v="2"/>
    <n v="48"/>
    <x v="2"/>
    <x v="1"/>
  </r>
  <r>
    <n v="15862"/>
    <x v="1"/>
    <x v="0"/>
    <n v="50000"/>
    <x v="0"/>
    <n v="0"/>
    <x v="4"/>
    <s v="Skilled Manual"/>
    <s v="Yes"/>
    <n v="0"/>
    <x v="3"/>
    <x v="2"/>
    <n v="33"/>
    <x v="0"/>
    <x v="1"/>
  </r>
  <r>
    <n v="26495"/>
    <x v="1"/>
    <x v="0"/>
    <n v="40000"/>
    <x v="0"/>
    <n v="2"/>
    <x v="2"/>
    <s v="Professional"/>
    <s v="Yes"/>
    <n v="2"/>
    <x v="4"/>
    <x v="2"/>
    <n v="57"/>
    <x v="2"/>
    <x v="0"/>
  </r>
  <r>
    <n v="11823"/>
    <x v="0"/>
    <x v="0"/>
    <n v="70000"/>
    <x v="1"/>
    <n v="0"/>
    <x v="4"/>
    <s v="Professional"/>
    <s v="Yes"/>
    <n v="0"/>
    <x v="1"/>
    <x v="2"/>
    <n v="39"/>
    <x v="0"/>
    <x v="0"/>
  </r>
  <r>
    <n v="23449"/>
    <x v="0"/>
    <x v="1"/>
    <n v="60000"/>
    <x v="1"/>
    <n v="2"/>
    <x v="2"/>
    <s v="Professional"/>
    <s v="Yes"/>
    <n v="2"/>
    <x v="2"/>
    <x v="2"/>
    <n v="48"/>
    <x v="2"/>
    <x v="0"/>
  </r>
  <r>
    <n v="23459"/>
    <x v="0"/>
    <x v="1"/>
    <n v="60000"/>
    <x v="1"/>
    <n v="2"/>
    <x v="2"/>
    <s v="Professional"/>
    <s v="Yes"/>
    <n v="2"/>
    <x v="2"/>
    <x v="2"/>
    <n v="50"/>
    <x v="2"/>
    <x v="0"/>
  </r>
  <r>
    <n v="19543"/>
    <x v="0"/>
    <x v="1"/>
    <n v="70000"/>
    <x v="1"/>
    <n v="5"/>
    <x v="4"/>
    <s v="Professional"/>
    <s v="No"/>
    <n v="3"/>
    <x v="4"/>
    <x v="2"/>
    <n v="47"/>
    <x v="2"/>
    <x v="0"/>
  </r>
  <r>
    <n v="14914"/>
    <x v="0"/>
    <x v="0"/>
    <n v="40000"/>
    <x v="0"/>
    <n v="1"/>
    <x v="1"/>
    <s v="Clerical"/>
    <s v="Yes"/>
    <n v="1"/>
    <x v="3"/>
    <x v="2"/>
    <n v="49"/>
    <x v="2"/>
    <x v="1"/>
  </r>
  <r>
    <n v="12033"/>
    <x v="1"/>
    <x v="0"/>
    <n v="40000"/>
    <x v="0"/>
    <n v="0"/>
    <x v="2"/>
    <s v="Skilled Manual"/>
    <s v="No"/>
    <n v="2"/>
    <x v="0"/>
    <x v="2"/>
    <n v="27"/>
    <x v="3"/>
    <x v="1"/>
  </r>
  <r>
    <n v="11941"/>
    <x v="1"/>
    <x v="1"/>
    <n v="60000"/>
    <x v="1"/>
    <n v="0"/>
    <x v="1"/>
    <s v="Skilled Manual"/>
    <s v="Yes"/>
    <n v="0"/>
    <x v="2"/>
    <x v="2"/>
    <n v="29"/>
    <x v="3"/>
    <x v="0"/>
  </r>
  <r>
    <n v="14389"/>
    <x v="0"/>
    <x v="1"/>
    <n v="60000"/>
    <x v="1"/>
    <n v="2"/>
    <x v="0"/>
    <s v="Management"/>
    <s v="Yes"/>
    <n v="0"/>
    <x v="1"/>
    <x v="2"/>
    <n v="59"/>
    <x v="2"/>
    <x v="0"/>
  </r>
  <r>
    <n v="18050"/>
    <x v="0"/>
    <x v="0"/>
    <n v="60000"/>
    <x v="1"/>
    <n v="1"/>
    <x v="1"/>
    <s v="Skilled Manual"/>
    <s v="Yes"/>
    <n v="1"/>
    <x v="0"/>
    <x v="2"/>
    <n v="45"/>
    <x v="2"/>
    <x v="1"/>
  </r>
  <r>
    <n v="19856"/>
    <x v="0"/>
    <x v="0"/>
    <n v="60000"/>
    <x v="1"/>
    <n v="4"/>
    <x v="0"/>
    <s v="Management"/>
    <s v="Yes"/>
    <n v="2"/>
    <x v="1"/>
    <x v="2"/>
    <n v="60"/>
    <x v="1"/>
    <x v="0"/>
  </r>
  <r>
    <n v="11663"/>
    <x v="0"/>
    <x v="1"/>
    <n v="70000"/>
    <x v="1"/>
    <n v="4"/>
    <x v="4"/>
    <s v="Professional"/>
    <s v="Yes"/>
    <n v="0"/>
    <x v="0"/>
    <x v="2"/>
    <n v="36"/>
    <x v="0"/>
    <x v="1"/>
  </r>
  <r>
    <n v="27740"/>
    <x v="0"/>
    <x v="0"/>
    <n v="40000"/>
    <x v="0"/>
    <n v="0"/>
    <x v="2"/>
    <s v="Skilled Manual"/>
    <s v="Yes"/>
    <n v="2"/>
    <x v="2"/>
    <x v="2"/>
    <n v="27"/>
    <x v="3"/>
    <x v="0"/>
  </r>
  <r>
    <n v="23455"/>
    <x v="1"/>
    <x v="1"/>
    <n v="80000"/>
    <x v="1"/>
    <n v="2"/>
    <x v="3"/>
    <s v="Skilled Manual"/>
    <s v="No"/>
    <n v="2"/>
    <x v="3"/>
    <x v="2"/>
    <n v="50"/>
    <x v="2"/>
    <x v="0"/>
  </r>
  <r>
    <n v="15292"/>
    <x v="1"/>
    <x v="0"/>
    <n v="60000"/>
    <x v="1"/>
    <n v="1"/>
    <x v="4"/>
    <s v="Skilled Manual"/>
    <s v="Yes"/>
    <n v="0"/>
    <x v="3"/>
    <x v="2"/>
    <n v="35"/>
    <x v="0"/>
    <x v="0"/>
  </r>
  <r>
    <n v="21587"/>
    <x v="0"/>
    <x v="0"/>
    <n v="60000"/>
    <x v="1"/>
    <n v="1"/>
    <x v="4"/>
    <s v="Skilled Manual"/>
    <s v="Yes"/>
    <n v="0"/>
    <x v="1"/>
    <x v="2"/>
    <n v="34"/>
    <x v="0"/>
    <x v="1"/>
  </r>
  <r>
    <n v="23513"/>
    <x v="0"/>
    <x v="0"/>
    <n v="40000"/>
    <x v="0"/>
    <n v="3"/>
    <x v="1"/>
    <s v="Professional"/>
    <s v="Yes"/>
    <n v="2"/>
    <x v="2"/>
    <x v="2"/>
    <n v="54"/>
    <x v="2"/>
    <x v="0"/>
  </r>
  <r>
    <n v="24322"/>
    <x v="0"/>
    <x v="0"/>
    <n v="60000"/>
    <x v="1"/>
    <n v="4"/>
    <x v="0"/>
    <s v="Skilled Manual"/>
    <s v="No"/>
    <n v="2"/>
    <x v="0"/>
    <x v="2"/>
    <n v="42"/>
    <x v="0"/>
    <x v="0"/>
  </r>
  <r>
    <n v="26298"/>
    <x v="0"/>
    <x v="0"/>
    <n v="50000"/>
    <x v="0"/>
    <n v="1"/>
    <x v="0"/>
    <s v="Skilled Manual"/>
    <s v="Yes"/>
    <n v="0"/>
    <x v="1"/>
    <x v="2"/>
    <n v="34"/>
    <x v="0"/>
    <x v="1"/>
  </r>
  <r>
    <n v="25419"/>
    <x v="1"/>
    <x v="1"/>
    <n v="50000"/>
    <x v="0"/>
    <n v="2"/>
    <x v="0"/>
    <s v="Skilled Manual"/>
    <s v="No"/>
    <n v="1"/>
    <x v="0"/>
    <x v="2"/>
    <n v="38"/>
    <x v="0"/>
    <x v="1"/>
  </r>
  <r>
    <n v="13343"/>
    <x v="0"/>
    <x v="0"/>
    <n v="90000"/>
    <x v="1"/>
    <n v="5"/>
    <x v="0"/>
    <s v="Management"/>
    <s v="Yes"/>
    <n v="2"/>
    <x v="3"/>
    <x v="2"/>
    <n v="63"/>
    <x v="1"/>
    <x v="1"/>
  </r>
  <r>
    <n v="11303"/>
    <x v="1"/>
    <x v="0"/>
    <n v="90000"/>
    <x v="1"/>
    <n v="4"/>
    <x v="2"/>
    <s v="Professional"/>
    <s v="No"/>
    <n v="3"/>
    <x v="3"/>
    <x v="2"/>
    <n v="45"/>
    <x v="2"/>
    <x v="1"/>
  </r>
  <r>
    <n v="21693"/>
    <x v="1"/>
    <x v="0"/>
    <n v="60000"/>
    <x v="1"/>
    <n v="0"/>
    <x v="4"/>
    <s v="Skilled Manual"/>
    <s v="No"/>
    <n v="0"/>
    <x v="0"/>
    <x v="2"/>
    <n v="40"/>
    <x v="0"/>
    <x v="0"/>
  </r>
  <r>
    <n v="28056"/>
    <x v="0"/>
    <x v="1"/>
    <n v="70000"/>
    <x v="1"/>
    <n v="2"/>
    <x v="3"/>
    <s v="Skilled Manual"/>
    <s v="Yes"/>
    <n v="2"/>
    <x v="4"/>
    <x v="2"/>
    <n v="53"/>
    <x v="2"/>
    <x v="0"/>
  </r>
  <r>
    <n v="11788"/>
    <x v="1"/>
    <x v="0"/>
    <n v="70000"/>
    <x v="1"/>
    <n v="1"/>
    <x v="4"/>
    <s v="Professional"/>
    <s v="Yes"/>
    <n v="0"/>
    <x v="1"/>
    <x v="2"/>
    <n v="34"/>
    <x v="0"/>
    <x v="0"/>
  </r>
  <r>
    <n v="22296"/>
    <x v="0"/>
    <x v="1"/>
    <n v="70000"/>
    <x v="1"/>
    <n v="0"/>
    <x v="0"/>
    <s v="Professional"/>
    <s v="No"/>
    <n v="1"/>
    <x v="0"/>
    <x v="2"/>
    <n v="38"/>
    <x v="0"/>
    <x v="0"/>
  </r>
  <r>
    <n v="15319"/>
    <x v="0"/>
    <x v="0"/>
    <n v="70000"/>
    <x v="1"/>
    <n v="4"/>
    <x v="0"/>
    <s v="Management"/>
    <s v="No"/>
    <n v="1"/>
    <x v="3"/>
    <x v="2"/>
    <n v="59"/>
    <x v="2"/>
    <x v="0"/>
  </r>
  <r>
    <n v="17654"/>
    <x v="1"/>
    <x v="0"/>
    <n v="40000"/>
    <x v="0"/>
    <n v="3"/>
    <x v="1"/>
    <s v="Clerical"/>
    <s v="Yes"/>
    <n v="1"/>
    <x v="3"/>
    <x v="2"/>
    <n v="30"/>
    <x v="0"/>
    <x v="1"/>
  </r>
  <r>
    <n v="14662"/>
    <x v="0"/>
    <x v="1"/>
    <n v="60000"/>
    <x v="1"/>
    <n v="1"/>
    <x v="0"/>
    <s v="Professional"/>
    <s v="Yes"/>
    <n v="1"/>
    <x v="0"/>
    <x v="2"/>
    <n v="48"/>
    <x v="2"/>
    <x v="1"/>
  </r>
  <r>
    <n v="17541"/>
    <x v="0"/>
    <x v="0"/>
    <n v="40000"/>
    <x v="0"/>
    <n v="4"/>
    <x v="2"/>
    <s v="Skilled Manual"/>
    <s v="Yes"/>
    <n v="2"/>
    <x v="1"/>
    <x v="2"/>
    <n v="43"/>
    <x v="0"/>
    <x v="0"/>
  </r>
  <r>
    <n v="13886"/>
    <x v="0"/>
    <x v="0"/>
    <n v="70000"/>
    <x v="1"/>
    <n v="4"/>
    <x v="4"/>
    <s v="Professional"/>
    <s v="Yes"/>
    <n v="0"/>
    <x v="1"/>
    <x v="2"/>
    <n v="35"/>
    <x v="0"/>
    <x v="1"/>
  </r>
  <r>
    <n v="13073"/>
    <x v="0"/>
    <x v="0"/>
    <n v="60000"/>
    <x v="1"/>
    <n v="0"/>
    <x v="1"/>
    <s v="Professional"/>
    <s v="Yes"/>
    <n v="2"/>
    <x v="2"/>
    <x v="2"/>
    <n v="30"/>
    <x v="0"/>
    <x v="0"/>
  </r>
  <r>
    <n v="21940"/>
    <x v="0"/>
    <x v="1"/>
    <n v="90000"/>
    <x v="1"/>
    <n v="5"/>
    <x v="4"/>
    <s v="Professional"/>
    <s v="Yes"/>
    <n v="0"/>
    <x v="0"/>
    <x v="2"/>
    <n v="47"/>
    <x v="2"/>
    <x v="1"/>
  </r>
  <r>
    <n v="20196"/>
    <x v="0"/>
    <x v="1"/>
    <n v="60000"/>
    <x v="1"/>
    <n v="1"/>
    <x v="1"/>
    <s v="Skilled Manual"/>
    <s v="Yes"/>
    <n v="1"/>
    <x v="1"/>
    <x v="2"/>
    <n v="45"/>
    <x v="2"/>
    <x v="1"/>
  </r>
  <r>
    <n v="23491"/>
    <x v="1"/>
    <x v="1"/>
    <n v="100000"/>
    <x v="4"/>
    <n v="0"/>
    <x v="1"/>
    <s v="Professional"/>
    <s v="No"/>
    <n v="4"/>
    <x v="3"/>
    <x v="2"/>
    <n v="45"/>
    <x v="2"/>
    <x v="0"/>
  </r>
  <r>
    <n v="16651"/>
    <x v="0"/>
    <x v="0"/>
    <n v="120000"/>
    <x v="4"/>
    <n v="2"/>
    <x v="0"/>
    <s v="Management"/>
    <s v="Yes"/>
    <n v="3"/>
    <x v="2"/>
    <x v="2"/>
    <n v="62"/>
    <x v="1"/>
    <x v="0"/>
  </r>
  <r>
    <n v="16813"/>
    <x v="0"/>
    <x v="1"/>
    <n v="60000"/>
    <x v="1"/>
    <n v="2"/>
    <x v="1"/>
    <s v="Professional"/>
    <s v="Yes"/>
    <n v="2"/>
    <x v="4"/>
    <x v="2"/>
    <n v="55"/>
    <x v="2"/>
    <x v="0"/>
  </r>
  <r>
    <n v="16007"/>
    <x v="0"/>
    <x v="0"/>
    <n v="90000"/>
    <x v="1"/>
    <n v="5"/>
    <x v="0"/>
    <s v="Management"/>
    <s v="Yes"/>
    <n v="2"/>
    <x v="3"/>
    <x v="2"/>
    <n v="66"/>
    <x v="1"/>
    <x v="1"/>
  </r>
  <r>
    <n v="27434"/>
    <x v="1"/>
    <x v="1"/>
    <n v="70000"/>
    <x v="1"/>
    <n v="4"/>
    <x v="1"/>
    <s v="Professional"/>
    <s v="Yes"/>
    <n v="1"/>
    <x v="4"/>
    <x v="2"/>
    <n v="56"/>
    <x v="2"/>
    <x v="0"/>
  </r>
  <r>
    <n v="27756"/>
    <x v="1"/>
    <x v="0"/>
    <n v="50000"/>
    <x v="0"/>
    <n v="3"/>
    <x v="0"/>
    <s v="Skilled Manual"/>
    <s v="No"/>
    <n v="1"/>
    <x v="0"/>
    <x v="2"/>
    <n v="40"/>
    <x v="0"/>
    <x v="0"/>
  </r>
  <r>
    <n v="23818"/>
    <x v="0"/>
    <x v="0"/>
    <n v="50000"/>
    <x v="0"/>
    <n v="0"/>
    <x v="4"/>
    <s v="Skilled Manual"/>
    <s v="Yes"/>
    <n v="0"/>
    <x v="3"/>
    <x v="2"/>
    <n v="33"/>
    <x v="0"/>
    <x v="1"/>
  </r>
  <r>
    <n v="19012"/>
    <x v="0"/>
    <x v="1"/>
    <n v="80000"/>
    <x v="1"/>
    <n v="3"/>
    <x v="0"/>
    <s v="Management"/>
    <s v="Yes"/>
    <n v="1"/>
    <x v="3"/>
    <x v="2"/>
    <n v="56"/>
    <x v="2"/>
    <x v="0"/>
  </r>
  <r>
    <n v="18329"/>
    <x v="1"/>
    <x v="1"/>
    <n v="30000"/>
    <x v="0"/>
    <n v="0"/>
    <x v="3"/>
    <s v="Clerical"/>
    <s v="No"/>
    <n v="2"/>
    <x v="2"/>
    <x v="2"/>
    <n v="27"/>
    <x v="3"/>
    <x v="0"/>
  </r>
  <r>
    <n v="29037"/>
    <x v="0"/>
    <x v="1"/>
    <n v="60000"/>
    <x v="1"/>
    <n v="0"/>
    <x v="4"/>
    <s v="Professional"/>
    <s v="No"/>
    <n v="0"/>
    <x v="0"/>
    <x v="2"/>
    <n v="39"/>
    <x v="0"/>
    <x v="0"/>
  </r>
  <r>
    <n v="26576"/>
    <x v="0"/>
    <x v="0"/>
    <n v="60000"/>
    <x v="1"/>
    <n v="0"/>
    <x v="1"/>
    <s v="Skilled Manual"/>
    <s v="Yes"/>
    <n v="2"/>
    <x v="2"/>
    <x v="2"/>
    <n v="31"/>
    <x v="0"/>
    <x v="0"/>
  </r>
  <r>
    <n v="12192"/>
    <x v="1"/>
    <x v="0"/>
    <n v="60000"/>
    <x v="1"/>
    <n v="2"/>
    <x v="3"/>
    <s v="Skilled Manual"/>
    <s v="No"/>
    <n v="2"/>
    <x v="3"/>
    <x v="2"/>
    <n v="51"/>
    <x v="2"/>
    <x v="0"/>
  </r>
  <r>
    <n v="14887"/>
    <x v="0"/>
    <x v="0"/>
    <n v="30000"/>
    <x v="0"/>
    <n v="1"/>
    <x v="2"/>
    <s v="Clerical"/>
    <s v="Yes"/>
    <n v="1"/>
    <x v="2"/>
    <x v="2"/>
    <n v="52"/>
    <x v="2"/>
    <x v="0"/>
  </r>
  <r>
    <n v="11734"/>
    <x v="0"/>
    <x v="1"/>
    <n v="60000"/>
    <x v="1"/>
    <n v="1"/>
    <x v="1"/>
    <s v="Skilled Manual"/>
    <s v="No"/>
    <n v="1"/>
    <x v="0"/>
    <x v="2"/>
    <n v="47"/>
    <x v="2"/>
    <x v="0"/>
  </r>
  <r>
    <n v="17462"/>
    <x v="0"/>
    <x v="1"/>
    <n v="70000"/>
    <x v="1"/>
    <n v="3"/>
    <x v="4"/>
    <s v="Management"/>
    <s v="Yes"/>
    <n v="2"/>
    <x v="2"/>
    <x v="2"/>
    <n v="53"/>
    <x v="2"/>
    <x v="1"/>
  </r>
  <r>
    <n v="20659"/>
    <x v="0"/>
    <x v="1"/>
    <n v="70000"/>
    <x v="1"/>
    <n v="3"/>
    <x v="4"/>
    <s v="Professional"/>
    <s v="Yes"/>
    <n v="0"/>
    <x v="0"/>
    <x v="2"/>
    <n v="35"/>
    <x v="0"/>
    <x v="1"/>
  </r>
  <r>
    <n v="28004"/>
    <x v="0"/>
    <x v="0"/>
    <n v="60000"/>
    <x v="1"/>
    <n v="3"/>
    <x v="0"/>
    <s v="Management"/>
    <s v="Yes"/>
    <n v="2"/>
    <x v="4"/>
    <x v="2"/>
    <n v="66"/>
    <x v="1"/>
    <x v="0"/>
  </r>
  <r>
    <n v="19741"/>
    <x v="1"/>
    <x v="0"/>
    <n v="80000"/>
    <x v="1"/>
    <n v="4"/>
    <x v="4"/>
    <s v="Management"/>
    <s v="Yes"/>
    <n v="2"/>
    <x v="2"/>
    <x v="2"/>
    <n v="65"/>
    <x v="1"/>
    <x v="0"/>
  </r>
  <r>
    <n v="17450"/>
    <x v="0"/>
    <x v="1"/>
    <n v="80000"/>
    <x v="1"/>
    <n v="5"/>
    <x v="1"/>
    <s v="Professional"/>
    <s v="Yes"/>
    <n v="3"/>
    <x v="2"/>
    <x v="2"/>
    <n v="45"/>
    <x v="2"/>
    <x v="0"/>
  </r>
  <r>
    <n v="17337"/>
    <x v="1"/>
    <x v="1"/>
    <n v="40000"/>
    <x v="0"/>
    <n v="0"/>
    <x v="2"/>
    <s v="Skilled Manual"/>
    <s v="Yes"/>
    <n v="1"/>
    <x v="2"/>
    <x v="2"/>
    <n v="31"/>
    <x v="0"/>
    <x v="0"/>
  </r>
  <r>
    <n v="18594"/>
    <x v="1"/>
    <x v="0"/>
    <n v="80000"/>
    <x v="1"/>
    <n v="3"/>
    <x v="0"/>
    <s v="Skilled Manual"/>
    <s v="Yes"/>
    <n v="3"/>
    <x v="4"/>
    <x v="2"/>
    <n v="40"/>
    <x v="0"/>
    <x v="1"/>
  </r>
  <r>
    <n v="15982"/>
    <x v="0"/>
    <x v="1"/>
    <n v="110000"/>
    <x v="4"/>
    <n v="5"/>
    <x v="1"/>
    <s v="Professional"/>
    <s v="Yes"/>
    <n v="4"/>
    <x v="1"/>
    <x v="2"/>
    <n v="46"/>
    <x v="2"/>
    <x v="0"/>
  </r>
  <r>
    <n v="28625"/>
    <x v="1"/>
    <x v="1"/>
    <n v="40000"/>
    <x v="0"/>
    <n v="2"/>
    <x v="1"/>
    <s v="Clerical"/>
    <s v="No"/>
    <n v="1"/>
    <x v="3"/>
    <x v="2"/>
    <n v="47"/>
    <x v="2"/>
    <x v="1"/>
  </r>
  <r>
    <n v="11269"/>
    <x v="0"/>
    <x v="1"/>
    <n v="130000"/>
    <x v="4"/>
    <n v="2"/>
    <x v="4"/>
    <s v="Management"/>
    <s v="Yes"/>
    <n v="2"/>
    <x v="0"/>
    <x v="2"/>
    <n v="41"/>
    <x v="0"/>
    <x v="0"/>
  </r>
  <r>
    <n v="25148"/>
    <x v="0"/>
    <x v="1"/>
    <n v="60000"/>
    <x v="1"/>
    <n v="2"/>
    <x v="2"/>
    <s v="Professional"/>
    <s v="No"/>
    <n v="2"/>
    <x v="3"/>
    <x v="2"/>
    <n v="48"/>
    <x v="2"/>
    <x v="1"/>
  </r>
  <r>
    <n v="13920"/>
    <x v="1"/>
    <x v="0"/>
    <n v="50000"/>
    <x v="0"/>
    <n v="4"/>
    <x v="0"/>
    <s v="Skilled Manual"/>
    <s v="Yes"/>
    <n v="2"/>
    <x v="0"/>
    <x v="2"/>
    <n v="42"/>
    <x v="0"/>
    <x v="0"/>
  </r>
  <r>
    <n v="23704"/>
    <x v="1"/>
    <x v="1"/>
    <n v="40000"/>
    <x v="0"/>
    <n v="5"/>
    <x v="2"/>
    <s v="Professional"/>
    <s v="Yes"/>
    <n v="4"/>
    <x v="4"/>
    <x v="2"/>
    <n v="60"/>
    <x v="1"/>
    <x v="1"/>
  </r>
  <r>
    <n v="28972"/>
    <x v="1"/>
    <x v="0"/>
    <n v="60000"/>
    <x v="1"/>
    <n v="3"/>
    <x v="4"/>
    <s v="Management"/>
    <s v="Yes"/>
    <n v="2"/>
    <x v="4"/>
    <x v="2"/>
    <n v="66"/>
    <x v="1"/>
    <x v="0"/>
  </r>
  <r>
    <n v="22730"/>
    <x v="0"/>
    <x v="1"/>
    <n v="70000"/>
    <x v="1"/>
    <n v="5"/>
    <x v="0"/>
    <s v="Management"/>
    <s v="Yes"/>
    <n v="2"/>
    <x v="4"/>
    <x v="2"/>
    <n v="63"/>
    <x v="1"/>
    <x v="0"/>
  </r>
  <r>
    <n v="29134"/>
    <x v="0"/>
    <x v="1"/>
    <n v="60000"/>
    <x v="1"/>
    <n v="4"/>
    <x v="0"/>
    <s v="Skilled Manual"/>
    <s v="No"/>
    <n v="3"/>
    <x v="4"/>
    <x v="2"/>
    <n v="42"/>
    <x v="0"/>
    <x v="0"/>
  </r>
  <r>
    <n v="14332"/>
    <x v="1"/>
    <x v="0"/>
    <n v="30000"/>
    <x v="0"/>
    <n v="0"/>
    <x v="2"/>
    <s v="Skilled Manual"/>
    <s v="No"/>
    <n v="2"/>
    <x v="2"/>
    <x v="2"/>
    <n v="26"/>
    <x v="3"/>
    <x v="0"/>
  </r>
  <r>
    <n v="19117"/>
    <x v="1"/>
    <x v="0"/>
    <n v="60000"/>
    <x v="1"/>
    <n v="1"/>
    <x v="4"/>
    <s v="Professional"/>
    <s v="Yes"/>
    <n v="0"/>
    <x v="1"/>
    <x v="2"/>
    <n v="36"/>
    <x v="0"/>
    <x v="1"/>
  </r>
  <r>
    <n v="22864"/>
    <x v="0"/>
    <x v="1"/>
    <n v="90000"/>
    <x v="1"/>
    <n v="2"/>
    <x v="1"/>
    <s v="Professional"/>
    <s v="No"/>
    <n v="0"/>
    <x v="2"/>
    <x v="2"/>
    <n v="49"/>
    <x v="2"/>
    <x v="1"/>
  </r>
  <r>
    <n v="11292"/>
    <x v="1"/>
    <x v="1"/>
    <n v="150000"/>
    <x v="3"/>
    <n v="1"/>
    <x v="1"/>
    <s v="Professional"/>
    <s v="No"/>
    <n v="3"/>
    <x v="0"/>
    <x v="2"/>
    <n v="44"/>
    <x v="0"/>
    <x v="1"/>
  </r>
  <r>
    <n v="13466"/>
    <x v="0"/>
    <x v="1"/>
    <n v="80000"/>
    <x v="1"/>
    <n v="5"/>
    <x v="1"/>
    <s v="Professional"/>
    <s v="Yes"/>
    <n v="3"/>
    <x v="3"/>
    <x v="2"/>
    <n v="46"/>
    <x v="2"/>
    <x v="0"/>
  </r>
  <r>
    <n v="23731"/>
    <x v="0"/>
    <x v="1"/>
    <n v="60000"/>
    <x v="1"/>
    <n v="2"/>
    <x v="2"/>
    <s v="Professional"/>
    <s v="Yes"/>
    <n v="2"/>
    <x v="1"/>
    <x v="2"/>
    <n v="54"/>
    <x v="2"/>
    <x v="1"/>
  </r>
  <r>
    <n v="28672"/>
    <x v="1"/>
    <x v="1"/>
    <n v="70000"/>
    <x v="1"/>
    <n v="4"/>
    <x v="4"/>
    <s v="Professional"/>
    <s v="Yes"/>
    <n v="0"/>
    <x v="1"/>
    <x v="2"/>
    <n v="35"/>
    <x v="0"/>
    <x v="1"/>
  </r>
  <r>
    <n v="11809"/>
    <x v="0"/>
    <x v="1"/>
    <n v="60000"/>
    <x v="1"/>
    <n v="2"/>
    <x v="0"/>
    <s v="Skilled Manual"/>
    <s v="Yes"/>
    <n v="0"/>
    <x v="0"/>
    <x v="2"/>
    <n v="38"/>
    <x v="0"/>
    <x v="1"/>
  </r>
  <r>
    <n v="19664"/>
    <x v="1"/>
    <x v="1"/>
    <n v="100000"/>
    <x v="4"/>
    <n v="3"/>
    <x v="0"/>
    <s v="Management"/>
    <s v="No"/>
    <n v="3"/>
    <x v="3"/>
    <x v="2"/>
    <n v="38"/>
    <x v="0"/>
    <x v="0"/>
  </r>
  <r>
    <n v="12121"/>
    <x v="1"/>
    <x v="1"/>
    <n v="60000"/>
    <x v="1"/>
    <n v="3"/>
    <x v="2"/>
    <s v="Professional"/>
    <s v="Yes"/>
    <n v="2"/>
    <x v="4"/>
    <x v="2"/>
    <n v="5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E3FB9C-409F-4D53-8F95-38158B523290}" name="PivotTable9" cacheId="3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76:K79" firstHeaderRow="1" firstDataRow="1" firstDataCol="1"/>
  <pivotFields count="15">
    <pivotField showAll="0"/>
    <pivotField axis="axisRow" showAll="0">
      <items count="3">
        <item x="0"/>
        <item x="1"/>
        <item t="default"/>
      </items>
    </pivotField>
    <pivotField showAll="0">
      <items count="3">
        <item x="0"/>
        <item x="1"/>
        <item t="default"/>
      </items>
    </pivotField>
    <pivotField numFmtId="1"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s>
  <rowFields count="1">
    <field x="1"/>
  </rowFields>
  <rowItems count="3">
    <i>
      <x/>
    </i>
    <i>
      <x v="1"/>
    </i>
    <i t="grand">
      <x/>
    </i>
  </rowItems>
  <colItems count="1">
    <i/>
  </colItems>
  <dataFields count="1">
    <dataField name="Count of Purchased Bike" fld="14" subtotal="count" baseField="0" baseItem="0"/>
  </dataFields>
  <chartFormats count="10">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679786-D4AB-48F5-934C-C9BADC3356A3}" name="PivotTable8" cacheId="3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76:G84" firstHeaderRow="1" firstDataRow="2" firstDataCol="1"/>
  <pivotFields count="15">
    <pivotField showAll="0"/>
    <pivotField showAll="0"/>
    <pivotField showAll="0"/>
    <pivotField numFmtId="1" showAll="0"/>
    <pivotField axis="axisCol" showAll="0">
      <items count="6">
        <item x="2"/>
        <item x="0"/>
        <item x="1"/>
        <item x="4"/>
        <item x="3"/>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Row" dataField="1" showAll="0">
      <items count="3">
        <item h="1" x="0"/>
        <item x="1"/>
        <item t="default"/>
      </items>
    </pivotField>
  </pivotFields>
  <rowFields count="2">
    <field x="11"/>
    <field x="14"/>
  </rowFields>
  <rowItems count="7">
    <i>
      <x/>
    </i>
    <i r="1">
      <x v="1"/>
    </i>
    <i>
      <x v="1"/>
    </i>
    <i r="1">
      <x v="1"/>
    </i>
    <i>
      <x v="2"/>
    </i>
    <i r="1">
      <x v="1"/>
    </i>
    <i t="grand">
      <x/>
    </i>
  </rowItems>
  <colFields count="1">
    <field x="4"/>
  </colFields>
  <colItems count="6">
    <i>
      <x/>
    </i>
    <i>
      <x v="1"/>
    </i>
    <i>
      <x v="2"/>
    </i>
    <i>
      <x v="3"/>
    </i>
    <i>
      <x v="4"/>
    </i>
    <i t="grand">
      <x/>
    </i>
  </colItems>
  <dataFields count="1">
    <dataField name="Count of Purchased Bike" fld="14" subtotal="count" showDataAs="percentOfCol" baseField="14" baseItem="0" numFmtId="10"/>
  </dataFields>
  <chartFormats count="10">
    <chartFormat chart="22" format="0" series="1">
      <pivotArea type="data" outline="0" fieldPosition="0">
        <references count="2">
          <reference field="4294967294" count="1" selected="0">
            <x v="0"/>
          </reference>
          <reference field="4" count="1" selected="0">
            <x v="1"/>
          </reference>
        </references>
      </pivotArea>
    </chartFormat>
    <chartFormat chart="22" format="1" series="1">
      <pivotArea type="data" outline="0" fieldPosition="0">
        <references count="2">
          <reference field="4294967294" count="1" selected="0">
            <x v="0"/>
          </reference>
          <reference field="4" count="1" selected="0">
            <x v="2"/>
          </reference>
        </references>
      </pivotArea>
    </chartFormat>
    <chartFormat chart="22" format="2" series="1">
      <pivotArea type="data" outline="0" fieldPosition="0">
        <references count="2">
          <reference field="4294967294" count="1" selected="0">
            <x v="0"/>
          </reference>
          <reference field="4" count="1" selected="0">
            <x v="3"/>
          </reference>
        </references>
      </pivotArea>
    </chartFormat>
    <chartFormat chart="22" format="3" series="1">
      <pivotArea type="data" outline="0" fieldPosition="0">
        <references count="2">
          <reference field="4294967294" count="1" selected="0">
            <x v="0"/>
          </reference>
          <reference field="4" count="1" selected="0">
            <x v="4"/>
          </reference>
        </references>
      </pivotArea>
    </chartFormat>
    <chartFormat chart="22" format="4" series="1">
      <pivotArea type="data" outline="0" fieldPosition="0">
        <references count="2">
          <reference field="4294967294" count="1" selected="0">
            <x v="0"/>
          </reference>
          <reference field="4" count="1" selected="0">
            <x v="0"/>
          </reference>
        </references>
      </pivotArea>
    </chartFormat>
    <chartFormat chart="49" format="10" series="1">
      <pivotArea type="data" outline="0" fieldPosition="0">
        <references count="2">
          <reference field="4294967294" count="1" selected="0">
            <x v="0"/>
          </reference>
          <reference field="4" count="1" selected="0">
            <x v="0"/>
          </reference>
        </references>
      </pivotArea>
    </chartFormat>
    <chartFormat chart="49" format="11" series="1">
      <pivotArea type="data" outline="0" fieldPosition="0">
        <references count="2">
          <reference field="4294967294" count="1" selected="0">
            <x v="0"/>
          </reference>
          <reference field="4" count="1" selected="0">
            <x v="1"/>
          </reference>
        </references>
      </pivotArea>
    </chartFormat>
    <chartFormat chart="49" format="12" series="1">
      <pivotArea type="data" outline="0" fieldPosition="0">
        <references count="2">
          <reference field="4294967294" count="1" selected="0">
            <x v="0"/>
          </reference>
          <reference field="4" count="1" selected="0">
            <x v="2"/>
          </reference>
        </references>
      </pivotArea>
    </chartFormat>
    <chartFormat chart="49" format="13" series="1">
      <pivotArea type="data" outline="0" fieldPosition="0">
        <references count="2">
          <reference field="4294967294" count="1" selected="0">
            <x v="0"/>
          </reference>
          <reference field="4" count="1" selected="0">
            <x v="3"/>
          </reference>
        </references>
      </pivotArea>
    </chartFormat>
    <chartFormat chart="49"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2BE6C8-1CC2-4FE0-BB61-8DFEF93CA1FC}" name="PivotTable6" cacheId="3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38:D45" firstHeaderRow="1" firstDataRow="2" firstDataCol="1"/>
  <pivotFields count="4">
    <pivotField axis="axisRow" allDrilled="1" subtotalTop="0" showAll="0" defaultSubtotal="0">
      <items count="5">
        <item x="2" e="0"/>
        <item x="1" e="0"/>
        <item x="3" e="0"/>
        <item x="0" e="0"/>
        <item x="4" e="0"/>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3">
    <i>
      <x/>
    </i>
    <i>
      <x v="1"/>
    </i>
    <i t="grand">
      <x/>
    </i>
  </colItems>
  <dataFields count="1">
    <dataField name="Count of Purchased Bike" fld="2"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Hierarchies count="1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O$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1B468F-BD45-4600-B922-DBE37C1A6017}" name="PivotTable7" cacheId="3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7:D63" firstHeaderRow="1" firstDataRow="2" firstDataCol="1"/>
  <pivotFields count="15">
    <pivotField showAll="0"/>
    <pivotField axis="axisCol" showAll="0">
      <items count="3">
        <item x="0"/>
        <item x="1"/>
        <item t="default"/>
      </items>
    </pivotField>
    <pivotField showAll="0"/>
    <pivotField numFmtId="164" showAll="0"/>
    <pivotField showAll="0"/>
    <pivotField showAll="0"/>
    <pivotField showAll="0"/>
    <pivotField showAll="0"/>
    <pivotField showAll="0"/>
    <pivotField showAll="0"/>
    <pivotField showAll="0"/>
    <pivotField showAll="0"/>
    <pivotField showAll="0"/>
    <pivotField axis="axisRow" showAll="0">
      <items count="9">
        <item m="1" x="6"/>
        <item m="1" x="7"/>
        <item m="1" x="5"/>
        <item m="1" x="4"/>
        <item x="3"/>
        <item x="0"/>
        <item x="2"/>
        <item x="1"/>
        <item t="default"/>
      </items>
    </pivotField>
    <pivotField dataField="1" showAll="0"/>
  </pivotFields>
  <rowFields count="1">
    <field x="13"/>
  </rowFields>
  <rowItems count="5">
    <i>
      <x v="4"/>
    </i>
    <i>
      <x v="5"/>
    </i>
    <i>
      <x v="6"/>
    </i>
    <i>
      <x v="7"/>
    </i>
    <i t="grand">
      <x/>
    </i>
  </rowItems>
  <colFields count="1">
    <field x="1"/>
  </colFields>
  <colItems count="3">
    <i>
      <x/>
    </i>
    <i>
      <x v="1"/>
    </i>
    <i t="grand">
      <x/>
    </i>
  </colItems>
  <dataFields count="1">
    <dataField name="Count of Purchased Bike" fld="14" subtotal="count" baseField="13" baseItem="4"/>
  </dataFields>
  <chartFormats count="4">
    <chartFormat chart="12" format="32" series="1">
      <pivotArea type="data" outline="0" fieldPosition="0">
        <references count="2">
          <reference field="4294967294" count="1" selected="0">
            <x v="0"/>
          </reference>
          <reference field="1" count="1" selected="0">
            <x v="0"/>
          </reference>
        </references>
      </pivotArea>
    </chartFormat>
    <chartFormat chart="12" format="33" series="1">
      <pivotArea type="data" outline="0" fieldPosition="0">
        <references count="2">
          <reference field="4294967294" count="1" selected="0">
            <x v="0"/>
          </reference>
          <reference field="1" count="1" selected="0">
            <x v="1"/>
          </reference>
        </references>
      </pivotArea>
    </chartFormat>
    <chartFormat chart="2" format="12" series="1">
      <pivotArea type="data" outline="0" fieldPosition="0">
        <references count="2">
          <reference field="4294967294" count="1" selected="0">
            <x v="0"/>
          </reference>
          <reference field="1" count="1" selected="0">
            <x v="0"/>
          </reference>
        </references>
      </pivotArea>
    </chartFormat>
    <chartFormat chart="2" format="1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6E1A52-6456-49C5-882F-7462F3801CA1}" name="PivotTable3" cacheId="3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2:D29" firstHeaderRow="1" firstDataRow="2" firstDataCol="1"/>
  <pivotFields count="15">
    <pivotField showAll="0"/>
    <pivotField showAll="0">
      <items count="3">
        <item x="0"/>
        <item x="1"/>
        <item t="default"/>
      </items>
    </pivotField>
    <pivotField axis="axisCol" showAll="0">
      <items count="3">
        <item x="0"/>
        <item x="1"/>
        <item t="default"/>
      </items>
    </pivotField>
    <pivotField numFmtId="164" showAll="0"/>
    <pivotField showAll="0"/>
    <pivotField showAll="0"/>
    <pivotField showAll="0"/>
    <pivotField showAll="0"/>
    <pivotField showAll="0"/>
    <pivotField showAll="0"/>
    <pivotField axis="axisRow" showAll="0">
      <items count="6">
        <item x="0"/>
        <item x="3"/>
        <item x="1"/>
        <item x="2"/>
        <item x="4"/>
        <item t="default"/>
      </items>
    </pivotField>
    <pivotField showAll="0"/>
    <pivotField showAll="0"/>
    <pivotField showAll="0"/>
    <pivotField dataField="1" showAll="0"/>
  </pivotFields>
  <rowFields count="1">
    <field x="10"/>
  </rowFields>
  <rowItems count="6">
    <i>
      <x/>
    </i>
    <i>
      <x v="1"/>
    </i>
    <i>
      <x v="2"/>
    </i>
    <i>
      <x v="3"/>
    </i>
    <i>
      <x v="4"/>
    </i>
    <i t="grand">
      <x/>
    </i>
  </rowItems>
  <colFields count="1">
    <field x="2"/>
  </colFields>
  <colItems count="3">
    <i>
      <x/>
    </i>
    <i>
      <x v="1"/>
    </i>
    <i t="grand">
      <x/>
    </i>
  </colItems>
  <dataFields count="1">
    <dataField name="Count of Purchased Bike" fld="14" subtotal="count" baseField="0" baseItem="0"/>
  </dataFields>
  <chartFormats count="2">
    <chartFormat chart="11" format="17" series="1">
      <pivotArea type="data" outline="0" fieldPosition="0">
        <references count="1">
          <reference field="4294967294" count="1" selected="0">
            <x v="0"/>
          </reference>
        </references>
      </pivotArea>
    </chartFormat>
    <chartFormat chart="11" format="18"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FC7F8E-F927-4E13-9E87-B7CCA829E609}" name="PivotTable2" cacheId="3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D15"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axis="axisRow" showAll="0">
      <items count="6">
        <item x="0"/>
        <item x="4"/>
        <item x="1"/>
        <item x="2"/>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2">
    <field x="2"/>
    <field x="6"/>
  </rowFields>
  <rowItems count="13">
    <i>
      <x/>
    </i>
    <i r="1">
      <x/>
    </i>
    <i r="1">
      <x v="1"/>
    </i>
    <i r="1">
      <x v="2"/>
    </i>
    <i r="1">
      <x v="3"/>
    </i>
    <i r="1">
      <x v="4"/>
    </i>
    <i>
      <x v="1"/>
    </i>
    <i r="1">
      <x/>
    </i>
    <i r="1">
      <x v="1"/>
    </i>
    <i r="1">
      <x v="2"/>
    </i>
    <i r="1">
      <x v="3"/>
    </i>
    <i r="1">
      <x v="4"/>
    </i>
    <i t="grand">
      <x/>
    </i>
  </rowItems>
  <colFields count="1">
    <field x="14"/>
  </colFields>
  <colItems count="3">
    <i>
      <x/>
    </i>
    <i>
      <x v="1"/>
    </i>
    <i t="grand">
      <x/>
    </i>
  </colItems>
  <dataFields count="1">
    <dataField name="Average of Income" fld="3" subtotal="average" baseField="2" baseItem="1" numFmtId="170"/>
  </dataFields>
  <formats count="6">
    <format dxfId="60">
      <pivotArea collapsedLevelsAreSubtotals="1" fieldPosition="0">
        <references count="1">
          <reference field="2" count="0"/>
        </references>
      </pivotArea>
    </format>
    <format dxfId="61">
      <pivotArea collapsedLevelsAreSubtotals="1" fieldPosition="0">
        <references count="1">
          <reference field="2" count="1">
            <x v="0"/>
          </reference>
        </references>
      </pivotArea>
    </format>
    <format dxfId="62">
      <pivotArea collapsedLevelsAreSubtotals="1" fieldPosition="0">
        <references count="2">
          <reference field="2" count="1" selected="0">
            <x v="0"/>
          </reference>
          <reference field="6" count="0"/>
        </references>
      </pivotArea>
    </format>
    <format dxfId="63">
      <pivotArea collapsedLevelsAreSubtotals="1" fieldPosition="0">
        <references count="1">
          <reference field="2" count="1">
            <x v="1"/>
          </reference>
        </references>
      </pivotArea>
    </format>
    <format dxfId="64">
      <pivotArea collapsedLevelsAreSubtotals="1" fieldPosition="0">
        <references count="2">
          <reference field="2" count="1" selected="0">
            <x v="1"/>
          </reference>
          <reference field="6" count="0"/>
        </references>
      </pivotArea>
    </format>
    <format dxfId="6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0"/>
          </reference>
        </references>
      </pivotArea>
    </chartFormat>
    <chartFormat chart="20" format="9" series="1">
      <pivotArea type="data" outline="0" fieldPosition="0">
        <references count="2">
          <reference field="4294967294" count="1" selected="0">
            <x v="0"/>
          </reference>
          <reference field="14" count="1" selected="0">
            <x v="0"/>
          </reference>
        </references>
      </pivotArea>
    </chartFormat>
    <chartFormat chart="20" format="10"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8BF0032-6ABA-4509-A8B3-E5B5E2A4E85D}" sourceName="Marital Status">
  <pivotTables>
    <pivotTable tabId="3" name="PivotTable7"/>
    <pivotTable tabId="3" name="PivotTable2"/>
    <pivotTable tabId="3" name="PivotTable3"/>
  </pivotTables>
  <data>
    <tabular pivotCacheId="8228793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9EC269-2669-420B-AF5B-0123C0105A7D}" sourceName="[Range].[Region]">
  <pivotTables>
    <pivotTable tabId="3" name="PivotTable6"/>
  </pivotTables>
  <data>
    <olap pivotCacheId="2043513883">
      <levels count="2">
        <level uniqueName="[Range].[Region].[(All)]" sourceCaption="(All)" count="0"/>
        <level uniqueName="[Range].[Region].[Region]" sourceCaption="Region" count="3">
          <ranges>
            <range startItem="0">
              <i n="[Range].[Region].&amp;[Europe]" c="Europe"/>
              <i n="[Range].[Region].&amp;[North America]" c="North America"/>
              <i n="[Range].[Region].&amp;[Pacific]" c="Pacific"/>
            </range>
          </ranges>
        </level>
      </levels>
      <selections count="1">
        <selection n="[Rang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6F6223B-9F32-4019-9F55-C93C58DBF9DA}" sourceName="[Range].[Education]">
  <pivotTables>
    <pivotTable tabId="3" name="PivotTable6"/>
  </pivotTables>
  <data>
    <olap pivotCacheId="2043513883">
      <levels count="2">
        <level uniqueName="[Range].[Education].[(All)]" sourceCaption="(All)" count="0"/>
        <level uniqueName="[Range].[Education].[Education]" sourceCaption="Education" count="5">
          <ranges>
            <range startItem="0">
              <i n="[Range].[Education].&amp;[Bachelors]" c="Bachelors"/>
              <i n="[Range].[Education].&amp;[Graduate Degree]" c="Graduate Degree"/>
              <i n="[Range].[Education].&amp;[High School]" c="High School"/>
              <i n="[Range].[Education].&amp;[Partial College]" c="Partial College"/>
              <i n="[Range].[Education].&amp;[Partial High School]" c="Partial High School"/>
            </range>
          </ranges>
        </level>
      </levels>
      <selections count="1">
        <selection n="[Range].[Edu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F93480F-85DD-4A63-BDEB-7EBDCCE2795D}" cache="Slicer_Marital_Status" caption="Marital Status" rowHeight="234950"/>
  <slicer name="Region" xr10:uid="{26FDD0E4-220C-4D3D-B3D0-5C6D84402EE7}" cache="Slicer_Region" caption="Region" level="1" rowHeight="234950"/>
  <slicer name="Education" xr10:uid="{D7D4EFD4-24E8-4A24-966E-C233BD890333}" cache="Slicer_Education" caption="Education" level="1"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N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28AF1-9233-4B0D-B76B-0798F2094FEB}">
  <dimension ref="A1:O1027"/>
  <sheetViews>
    <sheetView topLeftCell="B1" workbookViewId="0">
      <selection activeCell="E2" sqref="E2:E1001"/>
    </sheetView>
  </sheetViews>
  <sheetFormatPr defaultColWidth="11.88671875" defaultRowHeight="14.4" x14ac:dyDescent="0.3"/>
  <cols>
    <col min="1" max="1" width="9.77734375" style="4" customWidth="1"/>
    <col min="2" max="2" width="13.77734375" style="3" customWidth="1"/>
    <col min="3" max="3" width="11.88671875" style="3"/>
    <col min="4" max="4" width="11.5546875" style="11" customWidth="1"/>
    <col min="5" max="5" width="16.109375" style="9" customWidth="1"/>
    <col min="6" max="6" width="11.88671875" style="3"/>
    <col min="7" max="7" width="16.109375" customWidth="1"/>
    <col min="8" max="8" width="16" customWidth="1"/>
    <col min="9" max="9" width="13.109375" style="3" customWidth="1"/>
    <col min="10" max="10" width="11.88671875" style="3"/>
    <col min="11" max="11" width="18" customWidth="1"/>
    <col min="13" max="13" width="11.88671875" style="3"/>
    <col min="14" max="14" width="16.6640625" style="3" customWidth="1"/>
    <col min="15" max="15" width="15.44140625" style="3" customWidth="1"/>
  </cols>
  <sheetData>
    <row r="1" spans="1:15" s="3" customFormat="1" x14ac:dyDescent="0.3">
      <c r="A1" s="4" t="s">
        <v>0</v>
      </c>
      <c r="B1" s="3" t="s">
        <v>1</v>
      </c>
      <c r="C1" s="3" t="s">
        <v>2</v>
      </c>
      <c r="D1" s="11" t="s">
        <v>3</v>
      </c>
      <c r="E1" s="9" t="s">
        <v>46</v>
      </c>
      <c r="F1" s="3" t="s">
        <v>4</v>
      </c>
      <c r="G1" s="3" t="s">
        <v>5</v>
      </c>
      <c r="H1" s="3" t="s">
        <v>6</v>
      </c>
      <c r="I1" s="3" t="s">
        <v>7</v>
      </c>
      <c r="J1" s="3" t="s">
        <v>8</v>
      </c>
      <c r="K1" s="3" t="s">
        <v>9</v>
      </c>
      <c r="L1" s="3" t="s">
        <v>10</v>
      </c>
      <c r="M1" s="3" t="s">
        <v>11</v>
      </c>
      <c r="N1" s="3" t="s">
        <v>43</v>
      </c>
      <c r="O1" s="3" t="s">
        <v>12</v>
      </c>
    </row>
    <row r="2" spans="1:15" x14ac:dyDescent="0.3">
      <c r="A2" s="4">
        <v>12496</v>
      </c>
      <c r="B2" s="3" t="s">
        <v>39</v>
      </c>
      <c r="C2" s="3" t="s">
        <v>41</v>
      </c>
      <c r="D2" s="11">
        <v>40000</v>
      </c>
      <c r="E2" s="9" t="str" cm="1">
        <f t="array" ref="E2">_xlfn.IFS(D2&gt;149000, "Very High", D2&gt;99000, "High", D2&gt;59999, "Average", D2&gt;19999, "Low", D2&gt;0, "Poverty")</f>
        <v>Low</v>
      </c>
      <c r="F2" s="3">
        <v>1</v>
      </c>
      <c r="G2" t="s">
        <v>13</v>
      </c>
      <c r="H2" t="s">
        <v>14</v>
      </c>
      <c r="I2" s="3" t="s">
        <v>15</v>
      </c>
      <c r="J2" s="3">
        <v>0</v>
      </c>
      <c r="K2" t="s">
        <v>16</v>
      </c>
      <c r="L2" t="s">
        <v>17</v>
      </c>
      <c r="M2" s="3">
        <v>42</v>
      </c>
      <c r="N2" s="3" t="str" cm="1">
        <f t="array" ref="N2">_xlfn.IFS(M2&gt;59, "Pension Age", M2&gt;44, "Elderly (45+)", M2&gt;29, "Middle Age (30+)", M2&gt;22, "Adult (23+)", M2&gt;15, "Teen/Young Adult (16+)")</f>
        <v>Middle Age (30+)</v>
      </c>
      <c r="O2" s="3" t="s">
        <v>18</v>
      </c>
    </row>
    <row r="3" spans="1:15" x14ac:dyDescent="0.3">
      <c r="A3" s="4">
        <v>24107</v>
      </c>
      <c r="B3" s="3" t="s">
        <v>39</v>
      </c>
      <c r="C3" s="3" t="s">
        <v>42</v>
      </c>
      <c r="D3" s="11">
        <v>30000</v>
      </c>
      <c r="E3" s="9" t="str" cm="1">
        <f t="array" ref="E3">_xlfn.IFS(D3&gt;149000, "Very High", D3&gt;99000, "High", D3&gt;59999, "Average", D3&gt;19999, "Low", D3&gt;0, "Poverty")</f>
        <v>Low</v>
      </c>
      <c r="F3" s="3">
        <v>3</v>
      </c>
      <c r="G3" t="s">
        <v>19</v>
      </c>
      <c r="H3" t="s">
        <v>20</v>
      </c>
      <c r="I3" s="3" t="s">
        <v>15</v>
      </c>
      <c r="J3" s="3">
        <v>1</v>
      </c>
      <c r="K3" t="s">
        <v>16</v>
      </c>
      <c r="L3" t="s">
        <v>17</v>
      </c>
      <c r="M3" s="3">
        <v>43</v>
      </c>
      <c r="N3" s="3" t="str" cm="1">
        <f t="array" ref="N3">_xlfn.IFS(M3&gt;59, "Pension Age", M3&gt;44, "Elderly (45+)", M3&gt;29, "Middle Age (30+)", M3&gt;22, "Adult (23+)", M3&gt;15, "Teen/Young Adult (16+)")</f>
        <v>Middle Age (30+)</v>
      </c>
      <c r="O3" s="3" t="s">
        <v>18</v>
      </c>
    </row>
    <row r="4" spans="1:15" x14ac:dyDescent="0.3">
      <c r="A4" s="4">
        <v>14177</v>
      </c>
      <c r="B4" s="3" t="s">
        <v>39</v>
      </c>
      <c r="C4" s="3" t="s">
        <v>42</v>
      </c>
      <c r="D4" s="11">
        <v>80000</v>
      </c>
      <c r="E4" s="9" t="str" cm="1">
        <f t="array" ref="E4">_xlfn.IFS(D4&gt;149000, "Very High", D4&gt;99000, "High", D4&gt;59999, "Average", D4&gt;19999, "Low", D4&gt;0, "Poverty")</f>
        <v>Average</v>
      </c>
      <c r="F4" s="3">
        <v>5</v>
      </c>
      <c r="G4" t="s">
        <v>19</v>
      </c>
      <c r="H4" t="s">
        <v>21</v>
      </c>
      <c r="I4" s="3" t="s">
        <v>18</v>
      </c>
      <c r="J4" s="3">
        <v>2</v>
      </c>
      <c r="K4" t="s">
        <v>22</v>
      </c>
      <c r="L4" t="s">
        <v>17</v>
      </c>
      <c r="M4" s="3">
        <v>60</v>
      </c>
      <c r="N4" s="3" t="str" cm="1">
        <f t="array" ref="N4">_xlfn.IFS(M4&gt;59, "Pension Age", M4&gt;44, "Elderly (45+)", M4&gt;29, "Middle Age (30+)", M4&gt;22, "Adult (23+)", M4&gt;15, "Teen/Young Adult (16+)")</f>
        <v>Pension Age</v>
      </c>
      <c r="O4" s="3" t="s">
        <v>18</v>
      </c>
    </row>
    <row r="5" spans="1:15" x14ac:dyDescent="0.3">
      <c r="A5" s="4">
        <v>24381</v>
      </c>
      <c r="B5" s="3" t="s">
        <v>40</v>
      </c>
      <c r="C5" s="3" t="s">
        <v>42</v>
      </c>
      <c r="D5" s="11">
        <v>70000</v>
      </c>
      <c r="E5" s="9" t="str" cm="1">
        <f t="array" ref="E5">_xlfn.IFS(D5&gt;149000, "Very High", D5&gt;99000, "High", D5&gt;59999, "Average", D5&gt;19999, "Low", D5&gt;0, "Poverty")</f>
        <v>Average</v>
      </c>
      <c r="F5" s="3">
        <v>0</v>
      </c>
      <c r="G5" t="s">
        <v>13</v>
      </c>
      <c r="H5" t="s">
        <v>21</v>
      </c>
      <c r="I5" s="3" t="s">
        <v>15</v>
      </c>
      <c r="J5" s="3">
        <v>1</v>
      </c>
      <c r="K5" t="s">
        <v>23</v>
      </c>
      <c r="L5" t="s">
        <v>24</v>
      </c>
      <c r="M5" s="3">
        <v>41</v>
      </c>
      <c r="N5" s="3" t="str" cm="1">
        <f t="array" ref="N5">_xlfn.IFS(M5&gt;59, "Pension Age", M5&gt;44, "Elderly (45+)", M5&gt;29, "Middle Age (30+)", M5&gt;22, "Adult (23+)", M5&gt;15, "Teen/Young Adult (16+)")</f>
        <v>Middle Age (30+)</v>
      </c>
      <c r="O5" s="3" t="s">
        <v>15</v>
      </c>
    </row>
    <row r="6" spans="1:15" x14ac:dyDescent="0.3">
      <c r="A6" s="4">
        <v>25597</v>
      </c>
      <c r="B6" s="3" t="s">
        <v>40</v>
      </c>
      <c r="C6" s="3" t="s">
        <v>42</v>
      </c>
      <c r="D6" s="11">
        <v>30000</v>
      </c>
      <c r="E6" s="9" t="str" cm="1">
        <f t="array" ref="E6">_xlfn.IFS(D6&gt;149000, "Very High", D6&gt;99000, "High", D6&gt;59999, "Average", D6&gt;19999, "Low", D6&gt;0, "Poverty")</f>
        <v>Low</v>
      </c>
      <c r="F6" s="3">
        <v>0</v>
      </c>
      <c r="G6" t="s">
        <v>13</v>
      </c>
      <c r="H6" t="s">
        <v>20</v>
      </c>
      <c r="I6" s="3" t="s">
        <v>18</v>
      </c>
      <c r="J6" s="3">
        <v>0</v>
      </c>
      <c r="K6" t="s">
        <v>16</v>
      </c>
      <c r="L6" t="s">
        <v>17</v>
      </c>
      <c r="M6" s="3">
        <v>36</v>
      </c>
      <c r="N6" s="3" t="str" cm="1">
        <f t="array" ref="N6">_xlfn.IFS(M6&gt;59, "Pension Age", M6&gt;44, "Elderly (45+)", M6&gt;29, "Middle Age (30+)", M6&gt;22, "Adult (23+)", M6&gt;15, "Teen/Young Adult (16+)")</f>
        <v>Middle Age (30+)</v>
      </c>
      <c r="O6" s="3" t="s">
        <v>15</v>
      </c>
    </row>
    <row r="7" spans="1:15" x14ac:dyDescent="0.3">
      <c r="A7" s="4">
        <v>13507</v>
      </c>
      <c r="B7" s="3" t="s">
        <v>39</v>
      </c>
      <c r="C7" s="3" t="s">
        <v>41</v>
      </c>
      <c r="D7" s="11">
        <v>10000</v>
      </c>
      <c r="E7" s="9" t="str" cm="1">
        <f t="array" ref="E7">_xlfn.IFS(D7&gt;149000, "Very High", D7&gt;99000, "High", D7&gt;59999, "Average", D7&gt;19999, "Low", D7&gt;0, "Poverty")</f>
        <v>Poverty</v>
      </c>
      <c r="F7" s="3">
        <v>2</v>
      </c>
      <c r="G7" t="s">
        <v>19</v>
      </c>
      <c r="H7" t="s">
        <v>25</v>
      </c>
      <c r="I7" s="3" t="s">
        <v>15</v>
      </c>
      <c r="J7" s="3">
        <v>0</v>
      </c>
      <c r="K7" t="s">
        <v>26</v>
      </c>
      <c r="L7" t="s">
        <v>17</v>
      </c>
      <c r="M7" s="3">
        <v>50</v>
      </c>
      <c r="N7" s="3" t="str" cm="1">
        <f t="array" ref="N7">_xlfn.IFS(M7&gt;59, "Pension Age", M7&gt;44, "Elderly (45+)", M7&gt;29, "Middle Age (30+)", M7&gt;22, "Adult (23+)", M7&gt;15, "Teen/Young Adult (16+)")</f>
        <v>Elderly (45+)</v>
      </c>
      <c r="O7" s="3" t="s">
        <v>18</v>
      </c>
    </row>
    <row r="8" spans="1:15" x14ac:dyDescent="0.3">
      <c r="A8" s="4">
        <v>27974</v>
      </c>
      <c r="B8" s="3" t="s">
        <v>40</v>
      </c>
      <c r="C8" s="3" t="s">
        <v>42</v>
      </c>
      <c r="D8" s="11">
        <v>160000</v>
      </c>
      <c r="E8" s="9" t="str" cm="1">
        <f t="array" ref="E8">_xlfn.IFS(D8&gt;149000, "Very High", D8&gt;99000, "High", D8&gt;59999, "Average", D8&gt;19999, "Low", D8&gt;0, "Poverty")</f>
        <v>Very High</v>
      </c>
      <c r="F8" s="3">
        <v>2</v>
      </c>
      <c r="G8" t="s">
        <v>27</v>
      </c>
      <c r="H8" t="s">
        <v>28</v>
      </c>
      <c r="I8" s="3" t="s">
        <v>15</v>
      </c>
      <c r="J8" s="3">
        <v>4</v>
      </c>
      <c r="K8" t="s">
        <v>16</v>
      </c>
      <c r="L8" t="s">
        <v>24</v>
      </c>
      <c r="M8" s="3">
        <v>33</v>
      </c>
      <c r="N8" s="3" t="str" cm="1">
        <f t="array" ref="N8">_xlfn.IFS(M8&gt;59, "Pension Age", M8&gt;44, "Elderly (45+)", M8&gt;29, "Middle Age (30+)", M8&gt;22, "Adult (23+)", M8&gt;15, "Teen/Young Adult (16+)")</f>
        <v>Middle Age (30+)</v>
      </c>
      <c r="O8" s="3" t="s">
        <v>15</v>
      </c>
    </row>
    <row r="9" spans="1:15" x14ac:dyDescent="0.3">
      <c r="A9" s="4">
        <v>19364</v>
      </c>
      <c r="B9" s="3" t="s">
        <v>39</v>
      </c>
      <c r="C9" s="3" t="s">
        <v>42</v>
      </c>
      <c r="D9" s="11">
        <v>40000</v>
      </c>
      <c r="E9" s="9" t="str" cm="1">
        <f t="array" ref="E9">_xlfn.IFS(D9&gt;149000, "Very High", D9&gt;99000, "High", D9&gt;59999, "Average", D9&gt;19999, "Low", D9&gt;0, "Poverty")</f>
        <v>Low</v>
      </c>
      <c r="F9" s="3">
        <v>1</v>
      </c>
      <c r="G9" t="s">
        <v>13</v>
      </c>
      <c r="H9" t="s">
        <v>14</v>
      </c>
      <c r="I9" s="3" t="s">
        <v>15</v>
      </c>
      <c r="J9" s="3">
        <v>0</v>
      </c>
      <c r="K9" t="s">
        <v>16</v>
      </c>
      <c r="L9" t="s">
        <v>17</v>
      </c>
      <c r="M9" s="3">
        <v>43</v>
      </c>
      <c r="N9" s="3" t="str" cm="1">
        <f t="array" ref="N9">_xlfn.IFS(M9&gt;59, "Pension Age", M9&gt;44, "Elderly (45+)", M9&gt;29, "Middle Age (30+)", M9&gt;22, "Adult (23+)", M9&gt;15, "Teen/Young Adult (16+)")</f>
        <v>Middle Age (30+)</v>
      </c>
      <c r="O9" s="3" t="s">
        <v>15</v>
      </c>
    </row>
    <row r="10" spans="1:15" x14ac:dyDescent="0.3">
      <c r="A10" s="4">
        <v>22155</v>
      </c>
      <c r="B10" s="3" t="s">
        <v>39</v>
      </c>
      <c r="C10" s="3" t="s">
        <v>42</v>
      </c>
      <c r="D10" s="11">
        <v>20000</v>
      </c>
      <c r="E10" s="9" t="str" cm="1">
        <f t="array" ref="E10">_xlfn.IFS(D10&gt;149000, "Very High", D10&gt;99000, "High", D10&gt;59999, "Average", D10&gt;19999, "Low", D10&gt;0, "Poverty")</f>
        <v>Low</v>
      </c>
      <c r="F10" s="3">
        <v>2</v>
      </c>
      <c r="G10" t="s">
        <v>29</v>
      </c>
      <c r="H10" t="s">
        <v>20</v>
      </c>
      <c r="I10" s="3" t="s">
        <v>15</v>
      </c>
      <c r="J10" s="3">
        <v>2</v>
      </c>
      <c r="K10" t="s">
        <v>23</v>
      </c>
      <c r="L10" t="s">
        <v>24</v>
      </c>
      <c r="M10" s="3">
        <v>58</v>
      </c>
      <c r="N10" s="3" t="str" cm="1">
        <f t="array" ref="N10">_xlfn.IFS(M10&gt;59, "Pension Age", M10&gt;44, "Elderly (45+)", M10&gt;29, "Middle Age (30+)", M10&gt;22, "Adult (23+)", M10&gt;15, "Teen/Young Adult (16+)")</f>
        <v>Elderly (45+)</v>
      </c>
      <c r="O10" s="3" t="s">
        <v>18</v>
      </c>
    </row>
    <row r="11" spans="1:15" x14ac:dyDescent="0.3">
      <c r="A11" s="4">
        <v>19280</v>
      </c>
      <c r="B11" s="3" t="s">
        <v>39</v>
      </c>
      <c r="C11" s="3" t="s">
        <v>42</v>
      </c>
      <c r="D11" s="11">
        <v>120000</v>
      </c>
      <c r="E11" s="9" t="str" cm="1">
        <f t="array" ref="E11">_xlfn.IFS(D11&gt;149000, "Very High", D11&gt;99000, "High", D11&gt;59999, "Average", D11&gt;19999, "Low", D11&gt;0, "Poverty")</f>
        <v>High</v>
      </c>
      <c r="F11" s="3">
        <v>2</v>
      </c>
      <c r="G11" t="s">
        <v>19</v>
      </c>
      <c r="H11" t="s">
        <v>25</v>
      </c>
      <c r="I11" s="3" t="s">
        <v>15</v>
      </c>
      <c r="J11" s="3">
        <v>1</v>
      </c>
      <c r="K11" t="s">
        <v>16</v>
      </c>
      <c r="L11" t="s">
        <v>17</v>
      </c>
      <c r="M11" s="3">
        <v>40</v>
      </c>
      <c r="N11" s="3" t="str" cm="1">
        <f t="array" ref="N11">_xlfn.IFS(M11&gt;59, "Pension Age", M11&gt;44, "Elderly (45+)", M11&gt;29, "Middle Age (30+)", M11&gt;22, "Adult (23+)", M11&gt;15, "Teen/Young Adult (16+)")</f>
        <v>Middle Age (30+)</v>
      </c>
      <c r="O11" s="3" t="s">
        <v>15</v>
      </c>
    </row>
    <row r="12" spans="1:15" x14ac:dyDescent="0.3">
      <c r="A12" s="4">
        <v>22173</v>
      </c>
      <c r="B12" s="3" t="s">
        <v>39</v>
      </c>
      <c r="C12" s="3" t="s">
        <v>41</v>
      </c>
      <c r="D12" s="11">
        <v>30000</v>
      </c>
      <c r="E12" s="9" t="str" cm="1">
        <f t="array" ref="E12">_xlfn.IFS(D12&gt;149000, "Very High", D12&gt;99000, "High", D12&gt;59999, "Average", D12&gt;19999, "Low", D12&gt;0, "Poverty")</f>
        <v>Low</v>
      </c>
      <c r="F12" s="3">
        <v>3</v>
      </c>
      <c r="G12" t="s">
        <v>27</v>
      </c>
      <c r="H12" t="s">
        <v>14</v>
      </c>
      <c r="I12" s="3" t="s">
        <v>18</v>
      </c>
      <c r="J12" s="3">
        <v>2</v>
      </c>
      <c r="K12" t="s">
        <v>26</v>
      </c>
      <c r="L12" t="s">
        <v>24</v>
      </c>
      <c r="M12" s="3">
        <v>54</v>
      </c>
      <c r="N12" s="3" t="str" cm="1">
        <f t="array" ref="N12">_xlfn.IFS(M12&gt;59, "Pension Age", M12&gt;44, "Elderly (45+)", M12&gt;29, "Middle Age (30+)", M12&gt;22, "Adult (23+)", M12&gt;15, "Teen/Young Adult (16+)")</f>
        <v>Elderly (45+)</v>
      </c>
      <c r="O12" s="3" t="s">
        <v>15</v>
      </c>
    </row>
    <row r="13" spans="1:15" x14ac:dyDescent="0.3">
      <c r="A13" s="4">
        <v>12697</v>
      </c>
      <c r="B13" s="3" t="s">
        <v>40</v>
      </c>
      <c r="C13" s="3" t="s">
        <v>41</v>
      </c>
      <c r="D13" s="11">
        <v>90000</v>
      </c>
      <c r="E13" s="9" t="str" cm="1">
        <f t="array" ref="E13">_xlfn.IFS(D13&gt;149000, "Very High", D13&gt;99000, "High", D13&gt;59999, "Average", D13&gt;19999, "Low", D13&gt;0, "Poverty")</f>
        <v>Average</v>
      </c>
      <c r="F13" s="3">
        <v>0</v>
      </c>
      <c r="G13" t="s">
        <v>13</v>
      </c>
      <c r="H13" t="s">
        <v>21</v>
      </c>
      <c r="I13" s="3" t="s">
        <v>18</v>
      </c>
      <c r="J13" s="3">
        <v>4</v>
      </c>
      <c r="K13" t="s">
        <v>30</v>
      </c>
      <c r="L13" t="s">
        <v>24</v>
      </c>
      <c r="M13" s="3">
        <v>36</v>
      </c>
      <c r="N13" s="3" t="str" cm="1">
        <f t="array" ref="N13">_xlfn.IFS(M13&gt;59, "Pension Age", M13&gt;44, "Elderly (45+)", M13&gt;29, "Middle Age (30+)", M13&gt;22, "Adult (23+)", M13&gt;15, "Teen/Young Adult (16+)")</f>
        <v>Middle Age (30+)</v>
      </c>
      <c r="O13" s="3" t="s">
        <v>18</v>
      </c>
    </row>
    <row r="14" spans="1:15" x14ac:dyDescent="0.3">
      <c r="A14" s="4">
        <v>11434</v>
      </c>
      <c r="B14" s="3" t="s">
        <v>39</v>
      </c>
      <c r="C14" s="3" t="s">
        <v>42</v>
      </c>
      <c r="D14" s="11">
        <v>170000</v>
      </c>
      <c r="E14" s="9" t="str" cm="1">
        <f t="array" ref="E14">_xlfn.IFS(D14&gt;149000, "Very High", D14&gt;99000, "High", D14&gt;59999, "Average", D14&gt;19999, "Low", D14&gt;0, "Poverty")</f>
        <v>Very High</v>
      </c>
      <c r="F14" s="3">
        <v>5</v>
      </c>
      <c r="G14" t="s">
        <v>19</v>
      </c>
      <c r="H14" t="s">
        <v>21</v>
      </c>
      <c r="I14" s="3" t="s">
        <v>15</v>
      </c>
      <c r="J14" s="3">
        <v>0</v>
      </c>
      <c r="K14" t="s">
        <v>16</v>
      </c>
      <c r="L14" t="s">
        <v>17</v>
      </c>
      <c r="M14" s="3">
        <v>55</v>
      </c>
      <c r="N14" s="3" t="str" cm="1">
        <f t="array" ref="N14">_xlfn.IFS(M14&gt;59, "Pension Age", M14&gt;44, "Elderly (45+)", M14&gt;29, "Middle Age (30+)", M14&gt;22, "Adult (23+)", M14&gt;15, "Teen/Young Adult (16+)")</f>
        <v>Elderly (45+)</v>
      </c>
      <c r="O14" s="3" t="s">
        <v>18</v>
      </c>
    </row>
    <row r="15" spans="1:15" x14ac:dyDescent="0.3">
      <c r="A15" s="4">
        <v>25323</v>
      </c>
      <c r="B15" s="3" t="s">
        <v>39</v>
      </c>
      <c r="C15" s="3" t="s">
        <v>42</v>
      </c>
      <c r="D15" s="11">
        <v>40000</v>
      </c>
      <c r="E15" s="9" t="str" cm="1">
        <f t="array" ref="E15">_xlfn.IFS(D15&gt;149000, "Very High", D15&gt;99000, "High", D15&gt;59999, "Average", D15&gt;19999, "Low", D15&gt;0, "Poverty")</f>
        <v>Low</v>
      </c>
      <c r="F15" s="3">
        <v>2</v>
      </c>
      <c r="G15" t="s">
        <v>19</v>
      </c>
      <c r="H15" t="s">
        <v>20</v>
      </c>
      <c r="I15" s="3" t="s">
        <v>15</v>
      </c>
      <c r="J15" s="3">
        <v>1</v>
      </c>
      <c r="K15" t="s">
        <v>26</v>
      </c>
      <c r="L15" t="s">
        <v>17</v>
      </c>
      <c r="M15" s="3">
        <v>35</v>
      </c>
      <c r="N15" s="3" t="str" cm="1">
        <f t="array" ref="N15">_xlfn.IFS(M15&gt;59, "Pension Age", M15&gt;44, "Elderly (45+)", M15&gt;29, "Middle Age (30+)", M15&gt;22, "Adult (23+)", M15&gt;15, "Teen/Young Adult (16+)")</f>
        <v>Middle Age (30+)</v>
      </c>
      <c r="O15" s="3" t="s">
        <v>15</v>
      </c>
    </row>
    <row r="16" spans="1:15" x14ac:dyDescent="0.3">
      <c r="A16" s="4">
        <v>23542</v>
      </c>
      <c r="B16" s="3" t="s">
        <v>40</v>
      </c>
      <c r="C16" s="3" t="s">
        <v>42</v>
      </c>
      <c r="D16" s="11">
        <v>60000</v>
      </c>
      <c r="E16" s="9" t="str" cm="1">
        <f t="array" ref="E16">_xlfn.IFS(D16&gt;149000, "Very High", D16&gt;99000, "High", D16&gt;59999, "Average", D16&gt;19999, "Low", D16&gt;0, "Poverty")</f>
        <v>Average</v>
      </c>
      <c r="F16" s="3">
        <v>1</v>
      </c>
      <c r="G16" t="s">
        <v>19</v>
      </c>
      <c r="H16" t="s">
        <v>14</v>
      </c>
      <c r="I16" s="3" t="s">
        <v>18</v>
      </c>
      <c r="J16" s="3">
        <v>1</v>
      </c>
      <c r="K16" t="s">
        <v>16</v>
      </c>
      <c r="L16" t="s">
        <v>24</v>
      </c>
      <c r="M16" s="3">
        <v>45</v>
      </c>
      <c r="N16" s="3" t="str" cm="1">
        <f t="array" ref="N16">_xlfn.IFS(M16&gt;59, "Pension Age", M16&gt;44, "Elderly (45+)", M16&gt;29, "Middle Age (30+)", M16&gt;22, "Adult (23+)", M16&gt;15, "Teen/Young Adult (16+)")</f>
        <v>Elderly (45+)</v>
      </c>
      <c r="O16" s="3" t="s">
        <v>15</v>
      </c>
    </row>
    <row r="17" spans="1:15" x14ac:dyDescent="0.3">
      <c r="A17" s="4">
        <v>20870</v>
      </c>
      <c r="B17" s="3" t="s">
        <v>40</v>
      </c>
      <c r="C17" s="3" t="s">
        <v>41</v>
      </c>
      <c r="D17" s="11">
        <v>10000</v>
      </c>
      <c r="E17" s="9" t="str" cm="1">
        <f t="array" ref="E17">_xlfn.IFS(D17&gt;149000, "Very High", D17&gt;99000, "High", D17&gt;59999, "Average", D17&gt;19999, "Low", D17&gt;0, "Poverty")</f>
        <v>Poverty</v>
      </c>
      <c r="F17" s="3">
        <v>2</v>
      </c>
      <c r="G17" t="s">
        <v>27</v>
      </c>
      <c r="H17" t="s">
        <v>25</v>
      </c>
      <c r="I17" s="3" t="s">
        <v>15</v>
      </c>
      <c r="J17" s="3">
        <v>1</v>
      </c>
      <c r="K17" t="s">
        <v>16</v>
      </c>
      <c r="L17" t="s">
        <v>17</v>
      </c>
      <c r="M17" s="3">
        <v>38</v>
      </c>
      <c r="N17" s="3" t="str" cm="1">
        <f t="array" ref="N17">_xlfn.IFS(M17&gt;59, "Pension Age", M17&gt;44, "Elderly (45+)", M17&gt;29, "Middle Age (30+)", M17&gt;22, "Adult (23+)", M17&gt;15, "Teen/Young Adult (16+)")</f>
        <v>Middle Age (30+)</v>
      </c>
      <c r="O17" s="3" t="s">
        <v>15</v>
      </c>
    </row>
    <row r="18" spans="1:15" x14ac:dyDescent="0.3">
      <c r="A18" s="4">
        <v>23316</v>
      </c>
      <c r="B18" s="3" t="s">
        <v>40</v>
      </c>
      <c r="C18" s="3" t="s">
        <v>42</v>
      </c>
      <c r="D18" s="11">
        <v>30000</v>
      </c>
      <c r="E18" s="9" t="str" cm="1">
        <f t="array" ref="E18">_xlfn.IFS(D18&gt;149000, "Very High", D18&gt;99000, "High", D18&gt;59999, "Average", D18&gt;19999, "Low", D18&gt;0, "Poverty")</f>
        <v>Low</v>
      </c>
      <c r="F18" s="3">
        <v>3</v>
      </c>
      <c r="G18" t="s">
        <v>19</v>
      </c>
      <c r="H18" t="s">
        <v>20</v>
      </c>
      <c r="I18" s="3" t="s">
        <v>18</v>
      </c>
      <c r="J18" s="3">
        <v>2</v>
      </c>
      <c r="K18" t="s">
        <v>26</v>
      </c>
      <c r="L18" t="s">
        <v>24</v>
      </c>
      <c r="M18" s="3">
        <v>59</v>
      </c>
      <c r="N18" s="3" t="str" cm="1">
        <f t="array" ref="N18">_xlfn.IFS(M18&gt;59, "Pension Age", M18&gt;44, "Elderly (45+)", M18&gt;29, "Middle Age (30+)", M18&gt;22, "Adult (23+)", M18&gt;15, "Teen/Young Adult (16+)")</f>
        <v>Elderly (45+)</v>
      </c>
      <c r="O18" s="3" t="s">
        <v>15</v>
      </c>
    </row>
    <row r="19" spans="1:15" x14ac:dyDescent="0.3">
      <c r="A19" s="4">
        <v>12610</v>
      </c>
      <c r="B19" s="3" t="s">
        <v>39</v>
      </c>
      <c r="C19" s="3" t="s">
        <v>41</v>
      </c>
      <c r="D19" s="11">
        <v>30000</v>
      </c>
      <c r="E19" s="9" t="str" cm="1">
        <f t="array" ref="E19">_xlfn.IFS(D19&gt;149000, "Very High", D19&gt;99000, "High", D19&gt;59999, "Average", D19&gt;19999, "Low", D19&gt;0, "Poverty")</f>
        <v>Low</v>
      </c>
      <c r="F19" s="3">
        <v>1</v>
      </c>
      <c r="G19" t="s">
        <v>13</v>
      </c>
      <c r="H19" t="s">
        <v>20</v>
      </c>
      <c r="I19" s="3" t="s">
        <v>15</v>
      </c>
      <c r="J19" s="3">
        <v>0</v>
      </c>
      <c r="K19" t="s">
        <v>16</v>
      </c>
      <c r="L19" t="s">
        <v>17</v>
      </c>
      <c r="M19" s="3">
        <v>47</v>
      </c>
      <c r="N19" s="3" t="str" cm="1">
        <f t="array" ref="N19">_xlfn.IFS(M19&gt;59, "Pension Age", M19&gt;44, "Elderly (45+)", M19&gt;29, "Middle Age (30+)", M19&gt;22, "Adult (23+)", M19&gt;15, "Teen/Young Adult (16+)")</f>
        <v>Elderly (45+)</v>
      </c>
      <c r="O19" s="3" t="s">
        <v>18</v>
      </c>
    </row>
    <row r="20" spans="1:15" x14ac:dyDescent="0.3">
      <c r="A20" s="4">
        <v>27183</v>
      </c>
      <c r="B20" s="3" t="s">
        <v>40</v>
      </c>
      <c r="C20" s="3" t="s">
        <v>42</v>
      </c>
      <c r="D20" s="11">
        <v>40000</v>
      </c>
      <c r="E20" s="9" t="str" cm="1">
        <f t="array" ref="E20">_xlfn.IFS(D20&gt;149000, "Very High", D20&gt;99000, "High", D20&gt;59999, "Average", D20&gt;19999, "Low", D20&gt;0, "Poverty")</f>
        <v>Low</v>
      </c>
      <c r="F20" s="3">
        <v>2</v>
      </c>
      <c r="G20" t="s">
        <v>19</v>
      </c>
      <c r="H20" t="s">
        <v>20</v>
      </c>
      <c r="I20" s="3" t="s">
        <v>15</v>
      </c>
      <c r="J20" s="3">
        <v>1</v>
      </c>
      <c r="K20" t="s">
        <v>26</v>
      </c>
      <c r="L20" t="s">
        <v>17</v>
      </c>
      <c r="M20" s="3">
        <v>35</v>
      </c>
      <c r="N20" s="3" t="str" cm="1">
        <f t="array" ref="N20">_xlfn.IFS(M20&gt;59, "Pension Age", M20&gt;44, "Elderly (45+)", M20&gt;29, "Middle Age (30+)", M20&gt;22, "Adult (23+)", M20&gt;15, "Teen/Young Adult (16+)")</f>
        <v>Middle Age (30+)</v>
      </c>
      <c r="O20" s="3" t="s">
        <v>15</v>
      </c>
    </row>
    <row r="21" spans="1:15" x14ac:dyDescent="0.3">
      <c r="A21" s="4">
        <v>25940</v>
      </c>
      <c r="B21" s="3" t="s">
        <v>40</v>
      </c>
      <c r="C21" s="3" t="s">
        <v>42</v>
      </c>
      <c r="D21" s="11">
        <v>20000</v>
      </c>
      <c r="E21" s="9" t="str" cm="1">
        <f t="array" ref="E21">_xlfn.IFS(D21&gt;149000, "Very High", D21&gt;99000, "High", D21&gt;59999, "Average", D21&gt;19999, "Low", D21&gt;0, "Poverty")</f>
        <v>Low</v>
      </c>
      <c r="F21" s="3">
        <v>2</v>
      </c>
      <c r="G21" t="s">
        <v>29</v>
      </c>
      <c r="H21" t="s">
        <v>20</v>
      </c>
      <c r="I21" s="3" t="s">
        <v>15</v>
      </c>
      <c r="J21" s="3">
        <v>2</v>
      </c>
      <c r="K21" t="s">
        <v>23</v>
      </c>
      <c r="L21" t="s">
        <v>24</v>
      </c>
      <c r="M21" s="3">
        <v>55</v>
      </c>
      <c r="N21" s="3" t="str" cm="1">
        <f t="array" ref="N21">_xlfn.IFS(M21&gt;59, "Pension Age", M21&gt;44, "Elderly (45+)", M21&gt;29, "Middle Age (30+)", M21&gt;22, "Adult (23+)", M21&gt;15, "Teen/Young Adult (16+)")</f>
        <v>Elderly (45+)</v>
      </c>
      <c r="O21" s="3" t="s">
        <v>15</v>
      </c>
    </row>
    <row r="22" spans="1:15" x14ac:dyDescent="0.3">
      <c r="A22" s="4">
        <v>25598</v>
      </c>
      <c r="B22" s="3" t="s">
        <v>39</v>
      </c>
      <c r="C22" s="3" t="s">
        <v>41</v>
      </c>
      <c r="D22" s="11">
        <v>40000</v>
      </c>
      <c r="E22" s="9" t="str" cm="1">
        <f t="array" ref="E22">_xlfn.IFS(D22&gt;149000, "Very High", D22&gt;99000, "High", D22&gt;59999, "Average", D22&gt;19999, "Low", D22&gt;0, "Poverty")</f>
        <v>Low</v>
      </c>
      <c r="F22" s="3">
        <v>0</v>
      </c>
      <c r="G22" t="s">
        <v>31</v>
      </c>
      <c r="H22" t="s">
        <v>20</v>
      </c>
      <c r="I22" s="3" t="s">
        <v>15</v>
      </c>
      <c r="J22" s="3">
        <v>0</v>
      </c>
      <c r="K22" t="s">
        <v>16</v>
      </c>
      <c r="L22" t="s">
        <v>17</v>
      </c>
      <c r="M22" s="3">
        <v>36</v>
      </c>
      <c r="N22" s="3" t="str" cm="1">
        <f t="array" ref="N22">_xlfn.IFS(M22&gt;59, "Pension Age", M22&gt;44, "Elderly (45+)", M22&gt;29, "Middle Age (30+)", M22&gt;22, "Adult (23+)", M22&gt;15, "Teen/Young Adult (16+)")</f>
        <v>Middle Age (30+)</v>
      </c>
      <c r="O22" s="3" t="s">
        <v>15</v>
      </c>
    </row>
    <row r="23" spans="1:15" x14ac:dyDescent="0.3">
      <c r="A23" s="4">
        <v>21564</v>
      </c>
      <c r="B23" s="3" t="s">
        <v>40</v>
      </c>
      <c r="C23" s="3" t="s">
        <v>41</v>
      </c>
      <c r="D23" s="11">
        <v>80000</v>
      </c>
      <c r="E23" s="9" t="str" cm="1">
        <f t="array" ref="E23">_xlfn.IFS(D23&gt;149000, "Very High", D23&gt;99000, "High", D23&gt;59999, "Average", D23&gt;19999, "Low", D23&gt;0, "Poverty")</f>
        <v>Average</v>
      </c>
      <c r="F23" s="3">
        <v>0</v>
      </c>
      <c r="G23" t="s">
        <v>13</v>
      </c>
      <c r="H23" t="s">
        <v>21</v>
      </c>
      <c r="I23" s="3" t="s">
        <v>15</v>
      </c>
      <c r="J23" s="3">
        <v>4</v>
      </c>
      <c r="K23" t="s">
        <v>30</v>
      </c>
      <c r="L23" t="s">
        <v>24</v>
      </c>
      <c r="M23" s="3">
        <v>35</v>
      </c>
      <c r="N23" s="3" t="str" cm="1">
        <f t="array" ref="N23">_xlfn.IFS(M23&gt;59, "Pension Age", M23&gt;44, "Elderly (45+)", M23&gt;29, "Middle Age (30+)", M23&gt;22, "Adult (23+)", M23&gt;15, "Teen/Young Adult (16+)")</f>
        <v>Middle Age (30+)</v>
      </c>
      <c r="O23" s="3" t="s">
        <v>18</v>
      </c>
    </row>
    <row r="24" spans="1:15" x14ac:dyDescent="0.3">
      <c r="A24" s="4">
        <v>19193</v>
      </c>
      <c r="B24" s="3" t="s">
        <v>40</v>
      </c>
      <c r="C24" s="3" t="s">
        <v>42</v>
      </c>
      <c r="D24" s="11">
        <v>40000</v>
      </c>
      <c r="E24" s="9" t="str" cm="1">
        <f t="array" ref="E24">_xlfn.IFS(D24&gt;149000, "Very High", D24&gt;99000, "High", D24&gt;59999, "Average", D24&gt;19999, "Low", D24&gt;0, "Poverty")</f>
        <v>Low</v>
      </c>
      <c r="F24" s="3">
        <v>2</v>
      </c>
      <c r="G24" t="s">
        <v>19</v>
      </c>
      <c r="H24" t="s">
        <v>20</v>
      </c>
      <c r="I24" s="3" t="s">
        <v>15</v>
      </c>
      <c r="J24" s="3">
        <v>0</v>
      </c>
      <c r="K24" t="s">
        <v>26</v>
      </c>
      <c r="L24" t="s">
        <v>17</v>
      </c>
      <c r="M24" s="3">
        <v>35</v>
      </c>
      <c r="N24" s="3" t="str" cm="1">
        <f t="array" ref="N24">_xlfn.IFS(M24&gt;59, "Pension Age", M24&gt;44, "Elderly (45+)", M24&gt;29, "Middle Age (30+)", M24&gt;22, "Adult (23+)", M24&gt;15, "Teen/Young Adult (16+)")</f>
        <v>Middle Age (30+)</v>
      </c>
      <c r="O24" s="3" t="s">
        <v>15</v>
      </c>
    </row>
    <row r="25" spans="1:15" x14ac:dyDescent="0.3">
      <c r="A25" s="4">
        <v>26412</v>
      </c>
      <c r="B25" s="3" t="s">
        <v>39</v>
      </c>
      <c r="C25" s="3" t="s">
        <v>41</v>
      </c>
      <c r="D25" s="11">
        <v>80000</v>
      </c>
      <c r="E25" s="9" t="str" cm="1">
        <f t="array" ref="E25">_xlfn.IFS(D25&gt;149000, "Very High", D25&gt;99000, "High", D25&gt;59999, "Average", D25&gt;19999, "Low", D25&gt;0, "Poverty")</f>
        <v>Average</v>
      </c>
      <c r="F25" s="3">
        <v>5</v>
      </c>
      <c r="G25" t="s">
        <v>27</v>
      </c>
      <c r="H25" t="s">
        <v>28</v>
      </c>
      <c r="I25" s="3" t="s">
        <v>18</v>
      </c>
      <c r="J25" s="3">
        <v>3</v>
      </c>
      <c r="K25" t="s">
        <v>23</v>
      </c>
      <c r="L25" t="s">
        <v>17</v>
      </c>
      <c r="M25" s="3">
        <v>56</v>
      </c>
      <c r="N25" s="3" t="str" cm="1">
        <f t="array" ref="N25">_xlfn.IFS(M25&gt;59, "Pension Age", M25&gt;44, "Elderly (45+)", M25&gt;29, "Middle Age (30+)", M25&gt;22, "Adult (23+)", M25&gt;15, "Teen/Young Adult (16+)")</f>
        <v>Elderly (45+)</v>
      </c>
      <c r="O25" s="3" t="s">
        <v>18</v>
      </c>
    </row>
    <row r="26" spans="1:15" x14ac:dyDescent="0.3">
      <c r="A26" s="4">
        <v>27184</v>
      </c>
      <c r="B26" s="3" t="s">
        <v>40</v>
      </c>
      <c r="C26" s="3" t="s">
        <v>42</v>
      </c>
      <c r="D26" s="11">
        <v>40000</v>
      </c>
      <c r="E26" s="9" t="str" cm="1">
        <f t="array" ref="E26">_xlfn.IFS(D26&gt;149000, "Very High", D26&gt;99000, "High", D26&gt;59999, "Average", D26&gt;19999, "Low", D26&gt;0, "Poverty")</f>
        <v>Low</v>
      </c>
      <c r="F26" s="3">
        <v>2</v>
      </c>
      <c r="G26" t="s">
        <v>19</v>
      </c>
      <c r="H26" t="s">
        <v>20</v>
      </c>
      <c r="I26" s="3" t="s">
        <v>18</v>
      </c>
      <c r="J26" s="3">
        <v>1</v>
      </c>
      <c r="K26" t="s">
        <v>16</v>
      </c>
      <c r="L26" t="s">
        <v>17</v>
      </c>
      <c r="M26" s="3">
        <v>34</v>
      </c>
      <c r="N26" s="3" t="str" cm="1">
        <f t="array" ref="N26">_xlfn.IFS(M26&gt;59, "Pension Age", M26&gt;44, "Elderly (45+)", M26&gt;29, "Middle Age (30+)", M26&gt;22, "Adult (23+)", M26&gt;15, "Teen/Young Adult (16+)")</f>
        <v>Middle Age (30+)</v>
      </c>
      <c r="O26" s="3" t="s">
        <v>18</v>
      </c>
    </row>
    <row r="27" spans="1:15" x14ac:dyDescent="0.3">
      <c r="A27" s="4">
        <v>12590</v>
      </c>
      <c r="B27" s="3" t="s">
        <v>40</v>
      </c>
      <c r="C27" s="3" t="s">
        <v>42</v>
      </c>
      <c r="D27" s="11">
        <v>30000</v>
      </c>
      <c r="E27" s="9" t="str" cm="1">
        <f t="array" ref="E27">_xlfn.IFS(D27&gt;149000, "Very High", D27&gt;99000, "High", D27&gt;59999, "Average", D27&gt;19999, "Low", D27&gt;0, "Poverty")</f>
        <v>Low</v>
      </c>
      <c r="F27" s="3">
        <v>1</v>
      </c>
      <c r="G27" t="s">
        <v>13</v>
      </c>
      <c r="H27" t="s">
        <v>20</v>
      </c>
      <c r="I27" s="3" t="s">
        <v>15</v>
      </c>
      <c r="J27" s="3">
        <v>0</v>
      </c>
      <c r="K27" t="s">
        <v>16</v>
      </c>
      <c r="L27" t="s">
        <v>17</v>
      </c>
      <c r="M27" s="3">
        <v>63</v>
      </c>
      <c r="N27" s="3" t="str" cm="1">
        <f t="array" ref="N27">_xlfn.IFS(M27&gt;59, "Pension Age", M27&gt;44, "Elderly (45+)", M27&gt;29, "Middle Age (30+)", M27&gt;22, "Adult (23+)", M27&gt;15, "Teen/Young Adult (16+)")</f>
        <v>Pension Age</v>
      </c>
      <c r="O27" s="3" t="s">
        <v>18</v>
      </c>
    </row>
    <row r="28" spans="1:15" x14ac:dyDescent="0.3">
      <c r="A28" s="4">
        <v>17841</v>
      </c>
      <c r="B28" s="3" t="s">
        <v>40</v>
      </c>
      <c r="C28" s="3" t="s">
        <v>42</v>
      </c>
      <c r="D28" s="11">
        <v>30000</v>
      </c>
      <c r="E28" s="9" t="str" cm="1">
        <f t="array" ref="E28">_xlfn.IFS(D28&gt;149000, "Very High", D28&gt;99000, "High", D28&gt;59999, "Average", D28&gt;19999, "Low", D28&gt;0, "Poverty")</f>
        <v>Low</v>
      </c>
      <c r="F28" s="3">
        <v>0</v>
      </c>
      <c r="G28" t="s">
        <v>19</v>
      </c>
      <c r="H28" t="s">
        <v>20</v>
      </c>
      <c r="I28" s="3" t="s">
        <v>18</v>
      </c>
      <c r="J28" s="3">
        <v>1</v>
      </c>
      <c r="K28" t="s">
        <v>16</v>
      </c>
      <c r="L28" t="s">
        <v>17</v>
      </c>
      <c r="M28" s="3">
        <v>29</v>
      </c>
      <c r="N28" s="3" t="str" cm="1">
        <f t="array" ref="N28">_xlfn.IFS(M28&gt;59, "Pension Age", M28&gt;44, "Elderly (45+)", M28&gt;29, "Middle Age (30+)", M28&gt;22, "Adult (23+)", M28&gt;15, "Teen/Young Adult (16+)")</f>
        <v>Adult (23+)</v>
      </c>
      <c r="O28" s="3" t="s">
        <v>15</v>
      </c>
    </row>
    <row r="29" spans="1:15" x14ac:dyDescent="0.3">
      <c r="A29" s="4">
        <v>18283</v>
      </c>
      <c r="B29" s="3" t="s">
        <v>40</v>
      </c>
      <c r="C29" s="3" t="s">
        <v>41</v>
      </c>
      <c r="D29" s="11">
        <v>100000</v>
      </c>
      <c r="E29" s="9" t="str" cm="1">
        <f t="array" ref="E29">_xlfn.IFS(D29&gt;149000, "Very High", D29&gt;99000, "High", D29&gt;59999, "Average", D29&gt;19999, "Low", D29&gt;0, "Poverty")</f>
        <v>High</v>
      </c>
      <c r="F29" s="3">
        <v>0</v>
      </c>
      <c r="G29" t="s">
        <v>13</v>
      </c>
      <c r="H29" t="s">
        <v>21</v>
      </c>
      <c r="I29" s="3" t="s">
        <v>18</v>
      </c>
      <c r="J29" s="3">
        <v>1</v>
      </c>
      <c r="K29" t="s">
        <v>23</v>
      </c>
      <c r="L29" t="s">
        <v>24</v>
      </c>
      <c r="M29" s="3">
        <v>40</v>
      </c>
      <c r="N29" s="3" t="str" cm="1">
        <f t="array" ref="N29">_xlfn.IFS(M29&gt;59, "Pension Age", M29&gt;44, "Elderly (45+)", M29&gt;29, "Middle Age (30+)", M29&gt;22, "Adult (23+)", M29&gt;15, "Teen/Young Adult (16+)")</f>
        <v>Middle Age (30+)</v>
      </c>
      <c r="O29" s="3" t="s">
        <v>18</v>
      </c>
    </row>
    <row r="30" spans="1:15" x14ac:dyDescent="0.3">
      <c r="A30" s="4">
        <v>18299</v>
      </c>
      <c r="B30" s="3" t="s">
        <v>39</v>
      </c>
      <c r="C30" s="3" t="s">
        <v>42</v>
      </c>
      <c r="D30" s="11">
        <v>70000</v>
      </c>
      <c r="E30" s="9" t="str" cm="1">
        <f t="array" ref="E30">_xlfn.IFS(D30&gt;149000, "Very High", D30&gt;99000, "High", D30&gt;59999, "Average", D30&gt;19999, "Low", D30&gt;0, "Poverty")</f>
        <v>Average</v>
      </c>
      <c r="F30" s="3">
        <v>5</v>
      </c>
      <c r="G30" t="s">
        <v>19</v>
      </c>
      <c r="H30" t="s">
        <v>14</v>
      </c>
      <c r="I30" s="3" t="s">
        <v>15</v>
      </c>
      <c r="J30" s="3">
        <v>2</v>
      </c>
      <c r="K30" t="s">
        <v>23</v>
      </c>
      <c r="L30" t="s">
        <v>24</v>
      </c>
      <c r="M30" s="3">
        <v>44</v>
      </c>
      <c r="N30" s="3" t="str" cm="1">
        <f t="array" ref="N30">_xlfn.IFS(M30&gt;59, "Pension Age", M30&gt;44, "Elderly (45+)", M30&gt;29, "Middle Age (30+)", M30&gt;22, "Adult (23+)", M30&gt;15, "Teen/Young Adult (16+)")</f>
        <v>Middle Age (30+)</v>
      </c>
      <c r="O30" s="3" t="s">
        <v>18</v>
      </c>
    </row>
    <row r="31" spans="1:15" x14ac:dyDescent="0.3">
      <c r="A31" s="4">
        <v>16466</v>
      </c>
      <c r="B31" s="3" t="s">
        <v>40</v>
      </c>
      <c r="C31" s="3" t="s">
        <v>41</v>
      </c>
      <c r="D31" s="11">
        <v>20000</v>
      </c>
      <c r="E31" s="9" t="str" cm="1">
        <f t="array" ref="E31">_xlfn.IFS(D31&gt;149000, "Very High", D31&gt;99000, "High", D31&gt;59999, "Average", D31&gt;19999, "Low", D31&gt;0, "Poverty")</f>
        <v>Low</v>
      </c>
      <c r="F31" s="3">
        <v>0</v>
      </c>
      <c r="G31" t="s">
        <v>29</v>
      </c>
      <c r="H31" t="s">
        <v>25</v>
      </c>
      <c r="I31" s="3" t="s">
        <v>18</v>
      </c>
      <c r="J31" s="3">
        <v>2</v>
      </c>
      <c r="K31" t="s">
        <v>16</v>
      </c>
      <c r="L31" t="s">
        <v>17</v>
      </c>
      <c r="M31" s="3">
        <v>32</v>
      </c>
      <c r="N31" s="3" t="str" cm="1">
        <f t="array" ref="N31">_xlfn.IFS(M31&gt;59, "Pension Age", M31&gt;44, "Elderly (45+)", M31&gt;29, "Middle Age (30+)", M31&gt;22, "Adult (23+)", M31&gt;15, "Teen/Young Adult (16+)")</f>
        <v>Middle Age (30+)</v>
      </c>
      <c r="O31" s="3" t="s">
        <v>15</v>
      </c>
    </row>
    <row r="32" spans="1:15" x14ac:dyDescent="0.3">
      <c r="A32" s="4">
        <v>19273</v>
      </c>
      <c r="B32" s="3" t="s">
        <v>39</v>
      </c>
      <c r="C32" s="3" t="s">
        <v>41</v>
      </c>
      <c r="D32" s="11">
        <v>20000</v>
      </c>
      <c r="E32" s="9" t="str" cm="1">
        <f t="array" ref="E32">_xlfn.IFS(D32&gt;149000, "Very High", D32&gt;99000, "High", D32&gt;59999, "Average", D32&gt;19999, "Low", D32&gt;0, "Poverty")</f>
        <v>Low</v>
      </c>
      <c r="F32" s="3">
        <v>2</v>
      </c>
      <c r="G32" t="s">
        <v>19</v>
      </c>
      <c r="H32" t="s">
        <v>25</v>
      </c>
      <c r="I32" s="3" t="s">
        <v>15</v>
      </c>
      <c r="J32" s="3">
        <v>0</v>
      </c>
      <c r="K32" t="s">
        <v>16</v>
      </c>
      <c r="L32" t="s">
        <v>17</v>
      </c>
      <c r="M32" s="3">
        <v>63</v>
      </c>
      <c r="N32" s="3" t="str" cm="1">
        <f t="array" ref="N32">_xlfn.IFS(M32&gt;59, "Pension Age", M32&gt;44, "Elderly (45+)", M32&gt;29, "Middle Age (30+)", M32&gt;22, "Adult (23+)", M32&gt;15, "Teen/Young Adult (16+)")</f>
        <v>Pension Age</v>
      </c>
      <c r="O32" s="3" t="s">
        <v>18</v>
      </c>
    </row>
    <row r="33" spans="1:15" x14ac:dyDescent="0.3">
      <c r="A33" s="4">
        <v>22400</v>
      </c>
      <c r="B33" s="3" t="s">
        <v>39</v>
      </c>
      <c r="C33" s="3" t="s">
        <v>42</v>
      </c>
      <c r="D33" s="11">
        <v>10000</v>
      </c>
      <c r="E33" s="9" t="str" cm="1">
        <f t="array" ref="E33">_xlfn.IFS(D33&gt;149000, "Very High", D33&gt;99000, "High", D33&gt;59999, "Average", D33&gt;19999, "Low", D33&gt;0, "Poverty")</f>
        <v>Poverty</v>
      </c>
      <c r="F33" s="3">
        <v>0</v>
      </c>
      <c r="G33" t="s">
        <v>19</v>
      </c>
      <c r="H33" t="s">
        <v>25</v>
      </c>
      <c r="I33" s="3" t="s">
        <v>18</v>
      </c>
      <c r="J33" s="3">
        <v>1</v>
      </c>
      <c r="K33" t="s">
        <v>16</v>
      </c>
      <c r="L33" t="s">
        <v>24</v>
      </c>
      <c r="M33" s="3">
        <v>26</v>
      </c>
      <c r="N33" s="3" t="str" cm="1">
        <f t="array" ref="N33">_xlfn.IFS(M33&gt;59, "Pension Age", M33&gt;44, "Elderly (45+)", M33&gt;29, "Middle Age (30+)", M33&gt;22, "Adult (23+)", M33&gt;15, "Teen/Young Adult (16+)")</f>
        <v>Adult (23+)</v>
      </c>
      <c r="O33" s="3" t="s">
        <v>15</v>
      </c>
    </row>
    <row r="34" spans="1:15" x14ac:dyDescent="0.3">
      <c r="A34" s="4">
        <v>20942</v>
      </c>
      <c r="B34" s="3" t="s">
        <v>40</v>
      </c>
      <c r="C34" s="3" t="s">
        <v>41</v>
      </c>
      <c r="D34" s="11">
        <v>20000</v>
      </c>
      <c r="E34" s="9" t="str" cm="1">
        <f t="array" ref="E34">_xlfn.IFS(D34&gt;149000, "Very High", D34&gt;99000, "High", D34&gt;59999, "Average", D34&gt;19999, "Low", D34&gt;0, "Poverty")</f>
        <v>Low</v>
      </c>
      <c r="F34" s="3">
        <v>0</v>
      </c>
      <c r="G34" t="s">
        <v>27</v>
      </c>
      <c r="H34" t="s">
        <v>25</v>
      </c>
      <c r="I34" s="3" t="s">
        <v>18</v>
      </c>
      <c r="J34" s="3">
        <v>1</v>
      </c>
      <c r="K34" t="s">
        <v>23</v>
      </c>
      <c r="L34" t="s">
        <v>17</v>
      </c>
      <c r="M34" s="3">
        <v>31</v>
      </c>
      <c r="N34" s="3" t="str" cm="1">
        <f t="array" ref="N34">_xlfn.IFS(M34&gt;59, "Pension Age", M34&gt;44, "Elderly (45+)", M34&gt;29, "Middle Age (30+)", M34&gt;22, "Adult (23+)", M34&gt;15, "Teen/Young Adult (16+)")</f>
        <v>Middle Age (30+)</v>
      </c>
      <c r="O34" s="3" t="s">
        <v>18</v>
      </c>
    </row>
    <row r="35" spans="1:15" x14ac:dyDescent="0.3">
      <c r="A35" s="4">
        <v>18484</v>
      </c>
      <c r="B35" s="3" t="s">
        <v>40</v>
      </c>
      <c r="C35" s="3" t="s">
        <v>42</v>
      </c>
      <c r="D35" s="11">
        <v>80000</v>
      </c>
      <c r="E35" s="9" t="str" cm="1">
        <f t="array" ref="E35">_xlfn.IFS(D35&gt;149000, "Very High", D35&gt;99000, "High", D35&gt;59999, "Average", D35&gt;19999, "Low", D35&gt;0, "Poverty")</f>
        <v>Average</v>
      </c>
      <c r="F35" s="3">
        <v>2</v>
      </c>
      <c r="G35" t="s">
        <v>27</v>
      </c>
      <c r="H35" t="s">
        <v>14</v>
      </c>
      <c r="I35" s="3" t="s">
        <v>18</v>
      </c>
      <c r="J35" s="3">
        <v>2</v>
      </c>
      <c r="K35" t="s">
        <v>26</v>
      </c>
      <c r="L35" t="s">
        <v>24</v>
      </c>
      <c r="M35" s="3">
        <v>50</v>
      </c>
      <c r="N35" s="3" t="str" cm="1">
        <f t="array" ref="N35">_xlfn.IFS(M35&gt;59, "Pension Age", M35&gt;44, "Elderly (45+)", M35&gt;29, "Middle Age (30+)", M35&gt;22, "Adult (23+)", M35&gt;15, "Teen/Young Adult (16+)")</f>
        <v>Elderly (45+)</v>
      </c>
      <c r="O35" s="3" t="s">
        <v>15</v>
      </c>
    </row>
    <row r="36" spans="1:15" x14ac:dyDescent="0.3">
      <c r="A36" s="4">
        <v>12291</v>
      </c>
      <c r="B36" s="3" t="s">
        <v>40</v>
      </c>
      <c r="C36" s="3" t="s">
        <v>42</v>
      </c>
      <c r="D36" s="11">
        <v>90000</v>
      </c>
      <c r="E36" s="9" t="str" cm="1">
        <f t="array" ref="E36">_xlfn.IFS(D36&gt;149000, "Very High", D36&gt;99000, "High", D36&gt;59999, "Average", D36&gt;19999, "Low", D36&gt;0, "Poverty")</f>
        <v>Average</v>
      </c>
      <c r="F36" s="3">
        <v>5</v>
      </c>
      <c r="G36" t="s">
        <v>19</v>
      </c>
      <c r="H36" t="s">
        <v>21</v>
      </c>
      <c r="I36" s="3" t="s">
        <v>18</v>
      </c>
      <c r="J36" s="3">
        <v>2</v>
      </c>
      <c r="K36" t="s">
        <v>22</v>
      </c>
      <c r="L36" t="s">
        <v>17</v>
      </c>
      <c r="M36" s="3">
        <v>62</v>
      </c>
      <c r="N36" s="3" t="str" cm="1">
        <f t="array" ref="N36">_xlfn.IFS(M36&gt;59, "Pension Age", M36&gt;44, "Elderly (45+)", M36&gt;29, "Middle Age (30+)", M36&gt;22, "Adult (23+)", M36&gt;15, "Teen/Young Adult (16+)")</f>
        <v>Pension Age</v>
      </c>
      <c r="O36" s="3" t="s">
        <v>15</v>
      </c>
    </row>
    <row r="37" spans="1:15" x14ac:dyDescent="0.3">
      <c r="A37" s="4">
        <v>28380</v>
      </c>
      <c r="B37" s="3" t="s">
        <v>40</v>
      </c>
      <c r="C37" s="3" t="s">
        <v>41</v>
      </c>
      <c r="D37" s="11">
        <v>10000</v>
      </c>
      <c r="E37" s="9" t="str" cm="1">
        <f t="array" ref="E37">_xlfn.IFS(D37&gt;149000, "Very High", D37&gt;99000, "High", D37&gt;59999, "Average", D37&gt;19999, "Low", D37&gt;0, "Poverty")</f>
        <v>Poverty</v>
      </c>
      <c r="F37" s="3">
        <v>5</v>
      </c>
      <c r="G37" t="s">
        <v>29</v>
      </c>
      <c r="H37" t="s">
        <v>25</v>
      </c>
      <c r="I37" s="3" t="s">
        <v>18</v>
      </c>
      <c r="J37" s="3">
        <v>2</v>
      </c>
      <c r="K37" t="s">
        <v>16</v>
      </c>
      <c r="L37" t="s">
        <v>17</v>
      </c>
      <c r="M37" s="3">
        <v>41</v>
      </c>
      <c r="N37" s="3" t="str" cm="1">
        <f t="array" ref="N37">_xlfn.IFS(M37&gt;59, "Pension Age", M37&gt;44, "Elderly (45+)", M37&gt;29, "Middle Age (30+)", M37&gt;22, "Adult (23+)", M37&gt;15, "Teen/Young Adult (16+)")</f>
        <v>Middle Age (30+)</v>
      </c>
      <c r="O37" s="3" t="s">
        <v>18</v>
      </c>
    </row>
    <row r="38" spans="1:15" x14ac:dyDescent="0.3">
      <c r="A38" s="4">
        <v>17891</v>
      </c>
      <c r="B38" s="3" t="s">
        <v>39</v>
      </c>
      <c r="C38" s="3" t="s">
        <v>41</v>
      </c>
      <c r="D38" s="11">
        <v>10000</v>
      </c>
      <c r="E38" s="9" t="str" cm="1">
        <f t="array" ref="E38">_xlfn.IFS(D38&gt;149000, "Very High", D38&gt;99000, "High", D38&gt;59999, "Average", D38&gt;19999, "Low", D38&gt;0, "Poverty")</f>
        <v>Poverty</v>
      </c>
      <c r="F38" s="3">
        <v>2</v>
      </c>
      <c r="G38" t="s">
        <v>19</v>
      </c>
      <c r="H38" t="s">
        <v>25</v>
      </c>
      <c r="I38" s="3" t="s">
        <v>15</v>
      </c>
      <c r="J38" s="3">
        <v>1</v>
      </c>
      <c r="K38" t="s">
        <v>16</v>
      </c>
      <c r="L38" t="s">
        <v>17</v>
      </c>
      <c r="M38" s="3">
        <v>50</v>
      </c>
      <c r="N38" s="3" t="str" cm="1">
        <f t="array" ref="N38">_xlfn.IFS(M38&gt;59, "Pension Age", M38&gt;44, "Elderly (45+)", M38&gt;29, "Middle Age (30+)", M38&gt;22, "Adult (23+)", M38&gt;15, "Teen/Young Adult (16+)")</f>
        <v>Elderly (45+)</v>
      </c>
      <c r="O38" s="3" t="s">
        <v>15</v>
      </c>
    </row>
    <row r="39" spans="1:15" x14ac:dyDescent="0.3">
      <c r="A39" s="4">
        <v>27832</v>
      </c>
      <c r="B39" s="3" t="s">
        <v>40</v>
      </c>
      <c r="C39" s="3" t="s">
        <v>41</v>
      </c>
      <c r="D39" s="11">
        <v>30000</v>
      </c>
      <c r="E39" s="9" t="str" cm="1">
        <f t="array" ref="E39">_xlfn.IFS(D39&gt;149000, "Very High", D39&gt;99000, "High", D39&gt;59999, "Average", D39&gt;19999, "Low", D39&gt;0, "Poverty")</f>
        <v>Low</v>
      </c>
      <c r="F39" s="3">
        <v>0</v>
      </c>
      <c r="G39" t="s">
        <v>19</v>
      </c>
      <c r="H39" t="s">
        <v>20</v>
      </c>
      <c r="I39" s="3" t="s">
        <v>18</v>
      </c>
      <c r="J39" s="3">
        <v>1</v>
      </c>
      <c r="K39" t="s">
        <v>22</v>
      </c>
      <c r="L39" t="s">
        <v>17</v>
      </c>
      <c r="M39" s="3">
        <v>30</v>
      </c>
      <c r="N39" s="3" t="str" cm="1">
        <f t="array" ref="N39">_xlfn.IFS(M39&gt;59, "Pension Age", M39&gt;44, "Elderly (45+)", M39&gt;29, "Middle Age (30+)", M39&gt;22, "Adult (23+)", M39&gt;15, "Teen/Young Adult (16+)")</f>
        <v>Middle Age (30+)</v>
      </c>
      <c r="O39" s="3" t="s">
        <v>18</v>
      </c>
    </row>
    <row r="40" spans="1:15" x14ac:dyDescent="0.3">
      <c r="A40" s="4">
        <v>26863</v>
      </c>
      <c r="B40" s="3" t="s">
        <v>40</v>
      </c>
      <c r="C40" s="3" t="s">
        <v>42</v>
      </c>
      <c r="D40" s="11">
        <v>20000</v>
      </c>
      <c r="E40" s="9" t="str" cm="1">
        <f t="array" ref="E40">_xlfn.IFS(D40&gt;149000, "Very High", D40&gt;99000, "High", D40&gt;59999, "Average", D40&gt;19999, "Low", D40&gt;0, "Poverty")</f>
        <v>Low</v>
      </c>
      <c r="F40" s="3">
        <v>0</v>
      </c>
      <c r="G40" t="s">
        <v>27</v>
      </c>
      <c r="H40" t="s">
        <v>25</v>
      </c>
      <c r="I40" s="3" t="s">
        <v>18</v>
      </c>
      <c r="J40" s="3">
        <v>1</v>
      </c>
      <c r="K40" t="s">
        <v>22</v>
      </c>
      <c r="L40" t="s">
        <v>17</v>
      </c>
      <c r="M40" s="3">
        <v>28</v>
      </c>
      <c r="N40" s="3" t="str" cm="1">
        <f t="array" ref="N40">_xlfn.IFS(M40&gt;59, "Pension Age", M40&gt;44, "Elderly (45+)", M40&gt;29, "Middle Age (30+)", M40&gt;22, "Adult (23+)", M40&gt;15, "Teen/Young Adult (16+)")</f>
        <v>Adult (23+)</v>
      </c>
      <c r="O40" s="3" t="s">
        <v>18</v>
      </c>
    </row>
    <row r="41" spans="1:15" x14ac:dyDescent="0.3">
      <c r="A41" s="4">
        <v>16259</v>
      </c>
      <c r="B41" s="3" t="s">
        <v>40</v>
      </c>
      <c r="C41" s="3" t="s">
        <v>41</v>
      </c>
      <c r="D41" s="11">
        <v>10000</v>
      </c>
      <c r="E41" s="9" t="str" cm="1">
        <f t="array" ref="E41">_xlfn.IFS(D41&gt;149000, "Very High", D41&gt;99000, "High", D41&gt;59999, "Average", D41&gt;19999, "Low", D41&gt;0, "Poverty")</f>
        <v>Poverty</v>
      </c>
      <c r="F41" s="3">
        <v>4</v>
      </c>
      <c r="G41" t="s">
        <v>29</v>
      </c>
      <c r="H41" t="s">
        <v>25</v>
      </c>
      <c r="I41" s="3" t="s">
        <v>15</v>
      </c>
      <c r="J41" s="3">
        <v>2</v>
      </c>
      <c r="K41" t="s">
        <v>16</v>
      </c>
      <c r="L41" t="s">
        <v>17</v>
      </c>
      <c r="M41" s="3">
        <v>40</v>
      </c>
      <c r="N41" s="3" t="str" cm="1">
        <f t="array" ref="N41">_xlfn.IFS(M41&gt;59, "Pension Age", M41&gt;44, "Elderly (45+)", M41&gt;29, "Middle Age (30+)", M41&gt;22, "Adult (23+)", M41&gt;15, "Teen/Young Adult (16+)")</f>
        <v>Middle Age (30+)</v>
      </c>
      <c r="O41" s="3" t="s">
        <v>15</v>
      </c>
    </row>
    <row r="42" spans="1:15" x14ac:dyDescent="0.3">
      <c r="A42" s="4">
        <v>27803</v>
      </c>
      <c r="B42" s="3" t="s">
        <v>40</v>
      </c>
      <c r="C42" s="3" t="s">
        <v>41</v>
      </c>
      <c r="D42" s="11">
        <v>30000</v>
      </c>
      <c r="E42" s="9" t="str" cm="1">
        <f t="array" ref="E42">_xlfn.IFS(D42&gt;149000, "Very High", D42&gt;99000, "High", D42&gt;59999, "Average", D42&gt;19999, "Low", D42&gt;0, "Poverty")</f>
        <v>Low</v>
      </c>
      <c r="F42" s="3">
        <v>2</v>
      </c>
      <c r="G42" t="s">
        <v>19</v>
      </c>
      <c r="H42" t="s">
        <v>20</v>
      </c>
      <c r="I42" s="3" t="s">
        <v>18</v>
      </c>
      <c r="J42" s="3">
        <v>0</v>
      </c>
      <c r="K42" t="s">
        <v>16</v>
      </c>
      <c r="L42" t="s">
        <v>17</v>
      </c>
      <c r="M42" s="3">
        <v>43</v>
      </c>
      <c r="N42" s="3" t="str" cm="1">
        <f t="array" ref="N42">_xlfn.IFS(M42&gt;59, "Pension Age", M42&gt;44, "Elderly (45+)", M42&gt;29, "Middle Age (30+)", M42&gt;22, "Adult (23+)", M42&gt;15, "Teen/Young Adult (16+)")</f>
        <v>Middle Age (30+)</v>
      </c>
      <c r="O42" s="3" t="s">
        <v>18</v>
      </c>
    </row>
    <row r="43" spans="1:15" x14ac:dyDescent="0.3">
      <c r="A43" s="4">
        <v>14347</v>
      </c>
      <c r="B43" s="3" t="s">
        <v>40</v>
      </c>
      <c r="C43" s="3" t="s">
        <v>41</v>
      </c>
      <c r="D43" s="11">
        <v>40000</v>
      </c>
      <c r="E43" s="9" t="str" cm="1">
        <f t="array" ref="E43">_xlfn.IFS(D43&gt;149000, "Very High", D43&gt;99000, "High", D43&gt;59999, "Average", D43&gt;19999, "Low", D43&gt;0, "Poverty")</f>
        <v>Low</v>
      </c>
      <c r="F43" s="3">
        <v>2</v>
      </c>
      <c r="G43" t="s">
        <v>13</v>
      </c>
      <c r="H43" t="s">
        <v>28</v>
      </c>
      <c r="I43" s="3" t="s">
        <v>15</v>
      </c>
      <c r="J43" s="3">
        <v>2</v>
      </c>
      <c r="K43" t="s">
        <v>23</v>
      </c>
      <c r="L43" t="s">
        <v>24</v>
      </c>
      <c r="M43" s="3">
        <v>65</v>
      </c>
      <c r="N43" s="3" t="str" cm="1">
        <f t="array" ref="N43">_xlfn.IFS(M43&gt;59, "Pension Age", M43&gt;44, "Elderly (45+)", M43&gt;29, "Middle Age (30+)", M43&gt;22, "Adult (23+)", M43&gt;15, "Teen/Young Adult (16+)")</f>
        <v>Pension Age</v>
      </c>
      <c r="O43" s="3" t="s">
        <v>15</v>
      </c>
    </row>
    <row r="44" spans="1:15" x14ac:dyDescent="0.3">
      <c r="A44" s="4">
        <v>17703</v>
      </c>
      <c r="B44" s="3" t="s">
        <v>39</v>
      </c>
      <c r="C44" s="3" t="s">
        <v>41</v>
      </c>
      <c r="D44" s="11">
        <v>10000</v>
      </c>
      <c r="E44" s="9" t="str" cm="1">
        <f t="array" ref="E44">_xlfn.IFS(D44&gt;149000, "Very High", D44&gt;99000, "High", D44&gt;59999, "Average", D44&gt;19999, "Low", D44&gt;0, "Poverty")</f>
        <v>Poverty</v>
      </c>
      <c r="F44" s="3">
        <v>1</v>
      </c>
      <c r="G44" t="s">
        <v>31</v>
      </c>
      <c r="H44" t="s">
        <v>25</v>
      </c>
      <c r="I44" s="3" t="s">
        <v>15</v>
      </c>
      <c r="J44" s="3">
        <v>0</v>
      </c>
      <c r="K44" t="s">
        <v>16</v>
      </c>
      <c r="L44" t="s">
        <v>17</v>
      </c>
      <c r="M44" s="3">
        <v>40</v>
      </c>
      <c r="N44" s="3" t="str" cm="1">
        <f t="array" ref="N44">_xlfn.IFS(M44&gt;59, "Pension Age", M44&gt;44, "Elderly (45+)", M44&gt;29, "Middle Age (30+)", M44&gt;22, "Adult (23+)", M44&gt;15, "Teen/Young Adult (16+)")</f>
        <v>Middle Age (30+)</v>
      </c>
      <c r="O44" s="3" t="s">
        <v>18</v>
      </c>
    </row>
    <row r="45" spans="1:15" x14ac:dyDescent="0.3">
      <c r="A45" s="4">
        <v>17185</v>
      </c>
      <c r="B45" s="3" t="s">
        <v>39</v>
      </c>
      <c r="C45" s="3" t="s">
        <v>41</v>
      </c>
      <c r="D45" s="11">
        <v>170000</v>
      </c>
      <c r="E45" s="9" t="str" cm="1">
        <f t="array" ref="E45">_xlfn.IFS(D45&gt;149000, "Very High", D45&gt;99000, "High", D45&gt;59999, "Average", D45&gt;19999, "Low", D45&gt;0, "Poverty")</f>
        <v>Very High</v>
      </c>
      <c r="F45" s="3">
        <v>4</v>
      </c>
      <c r="G45" t="s">
        <v>19</v>
      </c>
      <c r="H45" t="s">
        <v>21</v>
      </c>
      <c r="I45" s="3" t="s">
        <v>18</v>
      </c>
      <c r="J45" s="3">
        <v>3</v>
      </c>
      <c r="K45" t="s">
        <v>23</v>
      </c>
      <c r="L45" t="s">
        <v>17</v>
      </c>
      <c r="M45" s="3">
        <v>48</v>
      </c>
      <c r="N45" s="3" t="str" cm="1">
        <f t="array" ref="N45">_xlfn.IFS(M45&gt;59, "Pension Age", M45&gt;44, "Elderly (45+)", M45&gt;29, "Middle Age (30+)", M45&gt;22, "Adult (23+)", M45&gt;15, "Teen/Young Adult (16+)")</f>
        <v>Elderly (45+)</v>
      </c>
      <c r="O45" s="3" t="s">
        <v>15</v>
      </c>
    </row>
    <row r="46" spans="1:15" x14ac:dyDescent="0.3">
      <c r="A46" s="4">
        <v>29380</v>
      </c>
      <c r="B46" s="3" t="s">
        <v>39</v>
      </c>
      <c r="C46" s="3" t="s">
        <v>41</v>
      </c>
      <c r="D46" s="11">
        <v>20000</v>
      </c>
      <c r="E46" s="9" t="str" cm="1">
        <f t="array" ref="E46">_xlfn.IFS(D46&gt;149000, "Very High", D46&gt;99000, "High", D46&gt;59999, "Average", D46&gt;19999, "Low", D46&gt;0, "Poverty")</f>
        <v>Low</v>
      </c>
      <c r="F46" s="3">
        <v>3</v>
      </c>
      <c r="G46" t="s">
        <v>27</v>
      </c>
      <c r="H46" t="s">
        <v>25</v>
      </c>
      <c r="I46" s="3" t="s">
        <v>15</v>
      </c>
      <c r="J46" s="3">
        <v>0</v>
      </c>
      <c r="K46" t="s">
        <v>16</v>
      </c>
      <c r="L46" t="s">
        <v>17</v>
      </c>
      <c r="M46" s="3">
        <v>41</v>
      </c>
      <c r="N46" s="3" t="str" cm="1">
        <f t="array" ref="N46">_xlfn.IFS(M46&gt;59, "Pension Age", M46&gt;44, "Elderly (45+)", M46&gt;29, "Middle Age (30+)", M46&gt;22, "Adult (23+)", M46&gt;15, "Teen/Young Adult (16+)")</f>
        <v>Middle Age (30+)</v>
      </c>
      <c r="O46" s="3" t="s">
        <v>15</v>
      </c>
    </row>
    <row r="47" spans="1:15" x14ac:dyDescent="0.3">
      <c r="A47" s="4">
        <v>23986</v>
      </c>
      <c r="B47" s="3" t="s">
        <v>39</v>
      </c>
      <c r="C47" s="3" t="s">
        <v>41</v>
      </c>
      <c r="D47" s="11">
        <v>20000</v>
      </c>
      <c r="E47" s="9" t="str" cm="1">
        <f t="array" ref="E47">_xlfn.IFS(D47&gt;149000, "Very High", D47&gt;99000, "High", D47&gt;59999, "Average", D47&gt;19999, "Low", D47&gt;0, "Poverty")</f>
        <v>Low</v>
      </c>
      <c r="F47" s="3">
        <v>1</v>
      </c>
      <c r="G47" t="s">
        <v>13</v>
      </c>
      <c r="H47" t="s">
        <v>20</v>
      </c>
      <c r="I47" s="3" t="s">
        <v>15</v>
      </c>
      <c r="J47" s="3">
        <v>0</v>
      </c>
      <c r="K47" t="s">
        <v>16</v>
      </c>
      <c r="L47" t="s">
        <v>17</v>
      </c>
      <c r="M47" s="3">
        <v>66</v>
      </c>
      <c r="N47" s="3" t="str" cm="1">
        <f t="array" ref="N47">_xlfn.IFS(M47&gt;59, "Pension Age", M47&gt;44, "Elderly (45+)", M47&gt;29, "Middle Age (30+)", M47&gt;22, "Adult (23+)", M47&gt;15, "Teen/Young Adult (16+)")</f>
        <v>Pension Age</v>
      </c>
      <c r="O47" s="3" t="s">
        <v>15</v>
      </c>
    </row>
    <row r="48" spans="1:15" x14ac:dyDescent="0.3">
      <c r="A48" s="4">
        <v>24466</v>
      </c>
      <c r="B48" s="3" t="s">
        <v>39</v>
      </c>
      <c r="C48" s="3" t="s">
        <v>41</v>
      </c>
      <c r="D48" s="11">
        <v>60000</v>
      </c>
      <c r="E48" s="9" t="str" cm="1">
        <f t="array" ref="E48">_xlfn.IFS(D48&gt;149000, "Very High", D48&gt;99000, "High", D48&gt;59999, "Average", D48&gt;19999, "Low", D48&gt;0, "Poverty")</f>
        <v>Average</v>
      </c>
      <c r="F48" s="3">
        <v>1</v>
      </c>
      <c r="G48" t="s">
        <v>19</v>
      </c>
      <c r="H48" t="s">
        <v>14</v>
      </c>
      <c r="I48" s="3" t="s">
        <v>15</v>
      </c>
      <c r="J48" s="3">
        <v>1</v>
      </c>
      <c r="K48" t="s">
        <v>23</v>
      </c>
      <c r="L48" t="s">
        <v>24</v>
      </c>
      <c r="M48" s="3">
        <v>46</v>
      </c>
      <c r="N48" s="3" t="str" cm="1">
        <f t="array" ref="N48">_xlfn.IFS(M48&gt;59, "Pension Age", M48&gt;44, "Elderly (45+)", M48&gt;29, "Middle Age (30+)", M48&gt;22, "Adult (23+)", M48&gt;15, "Teen/Young Adult (16+)")</f>
        <v>Elderly (45+)</v>
      </c>
      <c r="O48" s="3" t="s">
        <v>15</v>
      </c>
    </row>
    <row r="49" spans="1:15" x14ac:dyDescent="0.3">
      <c r="A49" s="4">
        <v>29097</v>
      </c>
      <c r="B49" s="3" t="s">
        <v>40</v>
      </c>
      <c r="C49" s="3" t="s">
        <v>41</v>
      </c>
      <c r="D49" s="11">
        <v>40000</v>
      </c>
      <c r="E49" s="9" t="str" cm="1">
        <f t="array" ref="E49">_xlfn.IFS(D49&gt;149000, "Very High", D49&gt;99000, "High", D49&gt;59999, "Average", D49&gt;19999, "Low", D49&gt;0, "Poverty")</f>
        <v>Low</v>
      </c>
      <c r="F49" s="3">
        <v>2</v>
      </c>
      <c r="G49" t="s">
        <v>19</v>
      </c>
      <c r="H49" t="s">
        <v>14</v>
      </c>
      <c r="I49" s="3" t="s">
        <v>15</v>
      </c>
      <c r="J49" s="3">
        <v>2</v>
      </c>
      <c r="K49" t="s">
        <v>23</v>
      </c>
      <c r="L49" t="s">
        <v>24</v>
      </c>
      <c r="M49" s="3">
        <v>52</v>
      </c>
      <c r="N49" s="3" t="str" cm="1">
        <f t="array" ref="N49">_xlfn.IFS(M49&gt;59, "Pension Age", M49&gt;44, "Elderly (45+)", M49&gt;29, "Middle Age (30+)", M49&gt;22, "Adult (23+)", M49&gt;15, "Teen/Young Adult (16+)")</f>
        <v>Elderly (45+)</v>
      </c>
      <c r="O49" s="3" t="s">
        <v>15</v>
      </c>
    </row>
    <row r="50" spans="1:15" x14ac:dyDescent="0.3">
      <c r="A50" s="4">
        <v>19487</v>
      </c>
      <c r="B50" s="3" t="s">
        <v>39</v>
      </c>
      <c r="C50" s="3" t="s">
        <v>42</v>
      </c>
      <c r="D50" s="11">
        <v>30000</v>
      </c>
      <c r="E50" s="9" t="str" cm="1">
        <f t="array" ref="E50">_xlfn.IFS(D50&gt;149000, "Very High", D50&gt;99000, "High", D50&gt;59999, "Average", D50&gt;19999, "Low", D50&gt;0, "Poverty")</f>
        <v>Low</v>
      </c>
      <c r="F50" s="3">
        <v>2</v>
      </c>
      <c r="G50" t="s">
        <v>19</v>
      </c>
      <c r="H50" t="s">
        <v>20</v>
      </c>
      <c r="I50" s="3" t="s">
        <v>18</v>
      </c>
      <c r="J50" s="3">
        <v>2</v>
      </c>
      <c r="K50" t="s">
        <v>16</v>
      </c>
      <c r="L50" t="s">
        <v>17</v>
      </c>
      <c r="M50" s="3">
        <v>42</v>
      </c>
      <c r="N50" s="3" t="str" cm="1">
        <f t="array" ref="N50">_xlfn.IFS(M50&gt;59, "Pension Age", M50&gt;44, "Elderly (45+)", M50&gt;29, "Middle Age (30+)", M50&gt;22, "Adult (23+)", M50&gt;15, "Teen/Young Adult (16+)")</f>
        <v>Middle Age (30+)</v>
      </c>
      <c r="O50" s="3" t="s">
        <v>18</v>
      </c>
    </row>
    <row r="51" spans="1:15" x14ac:dyDescent="0.3">
      <c r="A51" s="4">
        <v>14939</v>
      </c>
      <c r="B51" s="3" t="s">
        <v>40</v>
      </c>
      <c r="C51" s="3" t="s">
        <v>42</v>
      </c>
      <c r="D51" s="11">
        <v>40000</v>
      </c>
      <c r="E51" s="9" t="str" cm="1">
        <f t="array" ref="E51">_xlfn.IFS(D51&gt;149000, "Very High", D51&gt;99000, "High", D51&gt;59999, "Average", D51&gt;19999, "Low", D51&gt;0, "Poverty")</f>
        <v>Low</v>
      </c>
      <c r="F51" s="3">
        <v>0</v>
      </c>
      <c r="G51" t="s">
        <v>13</v>
      </c>
      <c r="H51" t="s">
        <v>20</v>
      </c>
      <c r="I51" s="3" t="s">
        <v>15</v>
      </c>
      <c r="J51" s="3">
        <v>0</v>
      </c>
      <c r="K51" t="s">
        <v>16</v>
      </c>
      <c r="L51" t="s">
        <v>17</v>
      </c>
      <c r="M51" s="3">
        <v>39</v>
      </c>
      <c r="N51" s="3" t="str" cm="1">
        <f t="array" ref="N51">_xlfn.IFS(M51&gt;59, "Pension Age", M51&gt;44, "Elderly (45+)", M51&gt;29, "Middle Age (30+)", M51&gt;22, "Adult (23+)", M51&gt;15, "Teen/Young Adult (16+)")</f>
        <v>Middle Age (30+)</v>
      </c>
      <c r="O51" s="3" t="s">
        <v>15</v>
      </c>
    </row>
    <row r="52" spans="1:15" x14ac:dyDescent="0.3">
      <c r="A52" s="4">
        <v>13826</v>
      </c>
      <c r="B52" s="3" t="s">
        <v>40</v>
      </c>
      <c r="C52" s="3" t="s">
        <v>41</v>
      </c>
      <c r="D52" s="11">
        <v>30000</v>
      </c>
      <c r="E52" s="9" t="str" cm="1">
        <f t="array" ref="E52">_xlfn.IFS(D52&gt;149000, "Very High", D52&gt;99000, "High", D52&gt;59999, "Average", D52&gt;19999, "Low", D52&gt;0, "Poverty")</f>
        <v>Low</v>
      </c>
      <c r="F52" s="3">
        <v>0</v>
      </c>
      <c r="G52" t="s">
        <v>19</v>
      </c>
      <c r="H52" t="s">
        <v>20</v>
      </c>
      <c r="I52" s="3" t="s">
        <v>18</v>
      </c>
      <c r="J52" s="3">
        <v>1</v>
      </c>
      <c r="K52" t="s">
        <v>16</v>
      </c>
      <c r="L52" t="s">
        <v>17</v>
      </c>
      <c r="M52" s="3">
        <v>28</v>
      </c>
      <c r="N52" s="3" t="str" cm="1">
        <f t="array" ref="N52">_xlfn.IFS(M52&gt;59, "Pension Age", M52&gt;44, "Elderly (45+)", M52&gt;29, "Middle Age (30+)", M52&gt;22, "Adult (23+)", M52&gt;15, "Teen/Young Adult (16+)")</f>
        <v>Adult (23+)</v>
      </c>
      <c r="O52" s="3" t="s">
        <v>18</v>
      </c>
    </row>
    <row r="53" spans="1:15" x14ac:dyDescent="0.3">
      <c r="A53" s="4">
        <v>20619</v>
      </c>
      <c r="B53" s="3" t="s">
        <v>40</v>
      </c>
      <c r="C53" s="3" t="s">
        <v>42</v>
      </c>
      <c r="D53" s="11">
        <v>80000</v>
      </c>
      <c r="E53" s="9" t="str" cm="1">
        <f t="array" ref="E53">_xlfn.IFS(D53&gt;149000, "Very High", D53&gt;99000, "High", D53&gt;59999, "Average", D53&gt;19999, "Low", D53&gt;0, "Poverty")</f>
        <v>Average</v>
      </c>
      <c r="F53" s="3">
        <v>0</v>
      </c>
      <c r="G53" t="s">
        <v>13</v>
      </c>
      <c r="H53" t="s">
        <v>21</v>
      </c>
      <c r="I53" s="3" t="s">
        <v>18</v>
      </c>
      <c r="J53" s="3">
        <v>4</v>
      </c>
      <c r="K53" t="s">
        <v>30</v>
      </c>
      <c r="L53" t="s">
        <v>24</v>
      </c>
      <c r="M53" s="3">
        <v>35</v>
      </c>
      <c r="N53" s="3" t="str" cm="1">
        <f t="array" ref="N53">_xlfn.IFS(M53&gt;59, "Pension Age", M53&gt;44, "Elderly (45+)", M53&gt;29, "Middle Age (30+)", M53&gt;22, "Adult (23+)", M53&gt;15, "Teen/Young Adult (16+)")</f>
        <v>Middle Age (30+)</v>
      </c>
      <c r="O53" s="3" t="s">
        <v>18</v>
      </c>
    </row>
    <row r="54" spans="1:15" x14ac:dyDescent="0.3">
      <c r="A54" s="4">
        <v>12558</v>
      </c>
      <c r="B54" s="3" t="s">
        <v>39</v>
      </c>
      <c r="C54" s="3" t="s">
        <v>41</v>
      </c>
      <c r="D54" s="11">
        <v>20000</v>
      </c>
      <c r="E54" s="9" t="str" cm="1">
        <f t="array" ref="E54">_xlfn.IFS(D54&gt;149000, "Very High", D54&gt;99000, "High", D54&gt;59999, "Average", D54&gt;19999, "Low", D54&gt;0, "Poverty")</f>
        <v>Low</v>
      </c>
      <c r="F54" s="3">
        <v>1</v>
      </c>
      <c r="G54" t="s">
        <v>13</v>
      </c>
      <c r="H54" t="s">
        <v>20</v>
      </c>
      <c r="I54" s="3" t="s">
        <v>15</v>
      </c>
      <c r="J54" s="3">
        <v>0</v>
      </c>
      <c r="K54" t="s">
        <v>16</v>
      </c>
      <c r="L54" t="s">
        <v>17</v>
      </c>
      <c r="M54" s="3">
        <v>65</v>
      </c>
      <c r="N54" s="3" t="str" cm="1">
        <f t="array" ref="N54">_xlfn.IFS(M54&gt;59, "Pension Age", M54&gt;44, "Elderly (45+)", M54&gt;29, "Middle Age (30+)", M54&gt;22, "Adult (23+)", M54&gt;15, "Teen/Young Adult (16+)")</f>
        <v>Pension Age</v>
      </c>
      <c r="O54" s="3" t="s">
        <v>18</v>
      </c>
    </row>
    <row r="55" spans="1:15" x14ac:dyDescent="0.3">
      <c r="A55" s="4">
        <v>24871</v>
      </c>
      <c r="B55" s="3" t="s">
        <v>40</v>
      </c>
      <c r="C55" s="3" t="s">
        <v>41</v>
      </c>
      <c r="D55" s="11">
        <v>90000</v>
      </c>
      <c r="E55" s="9" t="str" cm="1">
        <f t="array" ref="E55">_xlfn.IFS(D55&gt;149000, "Very High", D55&gt;99000, "High", D55&gt;59999, "Average", D55&gt;19999, "Low", D55&gt;0, "Poverty")</f>
        <v>Average</v>
      </c>
      <c r="F55" s="3">
        <v>4</v>
      </c>
      <c r="G55" t="s">
        <v>27</v>
      </c>
      <c r="H55" t="s">
        <v>28</v>
      </c>
      <c r="I55" s="3" t="s">
        <v>18</v>
      </c>
      <c r="J55" s="3">
        <v>3</v>
      </c>
      <c r="K55" t="s">
        <v>23</v>
      </c>
      <c r="L55" t="s">
        <v>17</v>
      </c>
      <c r="M55" s="3">
        <v>56</v>
      </c>
      <c r="N55" s="3" t="str" cm="1">
        <f t="array" ref="N55">_xlfn.IFS(M55&gt;59, "Pension Age", M55&gt;44, "Elderly (45+)", M55&gt;29, "Middle Age (30+)", M55&gt;22, "Adult (23+)", M55&gt;15, "Teen/Young Adult (16+)")</f>
        <v>Elderly (45+)</v>
      </c>
      <c r="O55" s="3" t="s">
        <v>18</v>
      </c>
    </row>
    <row r="56" spans="1:15" x14ac:dyDescent="0.3">
      <c r="A56" s="4">
        <v>17319</v>
      </c>
      <c r="B56" s="3" t="s">
        <v>40</v>
      </c>
      <c r="C56" s="3" t="s">
        <v>41</v>
      </c>
      <c r="D56" s="11">
        <v>70000</v>
      </c>
      <c r="E56" s="9" t="str" cm="1">
        <f t="array" ref="E56">_xlfn.IFS(D56&gt;149000, "Very High", D56&gt;99000, "High", D56&gt;59999, "Average", D56&gt;19999, "Low", D56&gt;0, "Poverty")</f>
        <v>Average</v>
      </c>
      <c r="F56" s="3">
        <v>0</v>
      </c>
      <c r="G56" t="s">
        <v>13</v>
      </c>
      <c r="H56" t="s">
        <v>21</v>
      </c>
      <c r="I56" s="3" t="s">
        <v>18</v>
      </c>
      <c r="J56" s="3">
        <v>1</v>
      </c>
      <c r="K56" t="s">
        <v>23</v>
      </c>
      <c r="L56" t="s">
        <v>24</v>
      </c>
      <c r="M56" s="3">
        <v>42</v>
      </c>
      <c r="N56" s="3" t="str" cm="1">
        <f t="array" ref="N56">_xlfn.IFS(M56&gt;59, "Pension Age", M56&gt;44, "Elderly (45+)", M56&gt;29, "Middle Age (30+)", M56&gt;22, "Adult (23+)", M56&gt;15, "Teen/Young Adult (16+)")</f>
        <v>Middle Age (30+)</v>
      </c>
      <c r="O56" s="3" t="s">
        <v>18</v>
      </c>
    </row>
    <row r="57" spans="1:15" x14ac:dyDescent="0.3">
      <c r="A57" s="4">
        <v>28906</v>
      </c>
      <c r="B57" s="3" t="s">
        <v>39</v>
      </c>
      <c r="C57" s="3" t="s">
        <v>42</v>
      </c>
      <c r="D57" s="11">
        <v>80000</v>
      </c>
      <c r="E57" s="9" t="str" cm="1">
        <f t="array" ref="E57">_xlfn.IFS(D57&gt;149000, "Very High", D57&gt;99000, "High", D57&gt;59999, "Average", D57&gt;19999, "Low", D57&gt;0, "Poverty")</f>
        <v>Average</v>
      </c>
      <c r="F57" s="3">
        <v>4</v>
      </c>
      <c r="G57" t="s">
        <v>27</v>
      </c>
      <c r="H57" t="s">
        <v>21</v>
      </c>
      <c r="I57" s="3" t="s">
        <v>15</v>
      </c>
      <c r="J57" s="3">
        <v>2</v>
      </c>
      <c r="K57" t="s">
        <v>30</v>
      </c>
      <c r="L57" t="s">
        <v>17</v>
      </c>
      <c r="M57" s="3">
        <v>54</v>
      </c>
      <c r="N57" s="3" t="str" cm="1">
        <f t="array" ref="N57">_xlfn.IFS(M57&gt;59, "Pension Age", M57&gt;44, "Elderly (45+)", M57&gt;29, "Middle Age (30+)", M57&gt;22, "Adult (23+)", M57&gt;15, "Teen/Young Adult (16+)")</f>
        <v>Elderly (45+)</v>
      </c>
      <c r="O57" s="3" t="s">
        <v>18</v>
      </c>
    </row>
    <row r="58" spans="1:15" x14ac:dyDescent="0.3">
      <c r="A58" s="4">
        <v>12808</v>
      </c>
      <c r="B58" s="3" t="s">
        <v>39</v>
      </c>
      <c r="C58" s="3" t="s">
        <v>42</v>
      </c>
      <c r="D58" s="11">
        <v>40000</v>
      </c>
      <c r="E58" s="9" t="str" cm="1">
        <f t="array" ref="E58">_xlfn.IFS(D58&gt;149000, "Very High", D58&gt;99000, "High", D58&gt;59999, "Average", D58&gt;19999, "Low", D58&gt;0, "Poverty")</f>
        <v>Low</v>
      </c>
      <c r="F58" s="3">
        <v>0</v>
      </c>
      <c r="G58" t="s">
        <v>13</v>
      </c>
      <c r="H58" t="s">
        <v>20</v>
      </c>
      <c r="I58" s="3" t="s">
        <v>15</v>
      </c>
      <c r="J58" s="3">
        <v>0</v>
      </c>
      <c r="K58" t="s">
        <v>16</v>
      </c>
      <c r="L58" t="s">
        <v>17</v>
      </c>
      <c r="M58" s="3">
        <v>38</v>
      </c>
      <c r="N58" s="3" t="str" cm="1">
        <f t="array" ref="N58">_xlfn.IFS(M58&gt;59, "Pension Age", M58&gt;44, "Elderly (45+)", M58&gt;29, "Middle Age (30+)", M58&gt;22, "Adult (23+)", M58&gt;15, "Teen/Young Adult (16+)")</f>
        <v>Middle Age (30+)</v>
      </c>
      <c r="O58" s="3" t="s">
        <v>15</v>
      </c>
    </row>
    <row r="59" spans="1:15" x14ac:dyDescent="0.3">
      <c r="A59" s="4">
        <v>20567</v>
      </c>
      <c r="B59" s="3" t="s">
        <v>39</v>
      </c>
      <c r="C59" s="3" t="s">
        <v>42</v>
      </c>
      <c r="D59" s="11">
        <v>130000</v>
      </c>
      <c r="E59" s="9" t="str" cm="1">
        <f t="array" ref="E59">_xlfn.IFS(D59&gt;149000, "Very High", D59&gt;99000, "High", D59&gt;59999, "Average", D59&gt;19999, "Low", D59&gt;0, "Poverty")</f>
        <v>High</v>
      </c>
      <c r="F59" s="3">
        <v>4</v>
      </c>
      <c r="G59" t="s">
        <v>19</v>
      </c>
      <c r="H59" t="s">
        <v>21</v>
      </c>
      <c r="I59" s="3" t="s">
        <v>18</v>
      </c>
      <c r="J59" s="3">
        <v>4</v>
      </c>
      <c r="K59" t="s">
        <v>23</v>
      </c>
      <c r="L59" t="s">
        <v>17</v>
      </c>
      <c r="M59" s="3">
        <v>61</v>
      </c>
      <c r="N59" s="3" t="str" cm="1">
        <f t="array" ref="N59">_xlfn.IFS(M59&gt;59, "Pension Age", M59&gt;44, "Elderly (45+)", M59&gt;29, "Middle Age (30+)", M59&gt;22, "Adult (23+)", M59&gt;15, "Teen/Young Adult (16+)")</f>
        <v>Pension Age</v>
      </c>
      <c r="O59" s="3" t="s">
        <v>15</v>
      </c>
    </row>
    <row r="60" spans="1:15" x14ac:dyDescent="0.3">
      <c r="A60" s="4">
        <v>25502</v>
      </c>
      <c r="B60" s="3" t="s">
        <v>39</v>
      </c>
      <c r="C60" s="3" t="s">
        <v>41</v>
      </c>
      <c r="D60" s="11">
        <v>40000</v>
      </c>
      <c r="E60" s="9" t="str" cm="1">
        <f t="array" ref="E60">_xlfn.IFS(D60&gt;149000, "Very High", D60&gt;99000, "High", D60&gt;59999, "Average", D60&gt;19999, "Low", D60&gt;0, "Poverty")</f>
        <v>Low</v>
      </c>
      <c r="F60" s="3">
        <v>1</v>
      </c>
      <c r="G60" t="s">
        <v>13</v>
      </c>
      <c r="H60" t="s">
        <v>14</v>
      </c>
      <c r="I60" s="3" t="s">
        <v>15</v>
      </c>
      <c r="J60" s="3">
        <v>0</v>
      </c>
      <c r="K60" t="s">
        <v>16</v>
      </c>
      <c r="L60" t="s">
        <v>17</v>
      </c>
      <c r="M60" s="3">
        <v>43</v>
      </c>
      <c r="N60" s="3" t="str" cm="1">
        <f t="array" ref="N60">_xlfn.IFS(M60&gt;59, "Pension Age", M60&gt;44, "Elderly (45+)", M60&gt;29, "Middle Age (30+)", M60&gt;22, "Adult (23+)", M60&gt;15, "Teen/Young Adult (16+)")</f>
        <v>Middle Age (30+)</v>
      </c>
      <c r="O60" s="3" t="s">
        <v>15</v>
      </c>
    </row>
    <row r="61" spans="1:15" x14ac:dyDescent="0.3">
      <c r="A61" s="4">
        <v>15580</v>
      </c>
      <c r="B61" s="3" t="s">
        <v>39</v>
      </c>
      <c r="C61" s="3" t="s">
        <v>42</v>
      </c>
      <c r="D61" s="11">
        <v>60000</v>
      </c>
      <c r="E61" s="9" t="str" cm="1">
        <f t="array" ref="E61">_xlfn.IFS(D61&gt;149000, "Very High", D61&gt;99000, "High", D61&gt;59999, "Average", D61&gt;19999, "Low", D61&gt;0, "Poverty")</f>
        <v>Average</v>
      </c>
      <c r="F61" s="3">
        <v>2</v>
      </c>
      <c r="G61" t="s">
        <v>13</v>
      </c>
      <c r="H61" t="s">
        <v>21</v>
      </c>
      <c r="I61" s="3" t="s">
        <v>15</v>
      </c>
      <c r="J61" s="3">
        <v>1</v>
      </c>
      <c r="K61" t="s">
        <v>22</v>
      </c>
      <c r="L61" t="s">
        <v>24</v>
      </c>
      <c r="M61" s="3">
        <v>38</v>
      </c>
      <c r="N61" s="3" t="str" cm="1">
        <f t="array" ref="N61">_xlfn.IFS(M61&gt;59, "Pension Age", M61&gt;44, "Elderly (45+)", M61&gt;29, "Middle Age (30+)", M61&gt;22, "Adult (23+)", M61&gt;15, "Teen/Young Adult (16+)")</f>
        <v>Middle Age (30+)</v>
      </c>
      <c r="O61" s="3" t="s">
        <v>15</v>
      </c>
    </row>
    <row r="62" spans="1:15" x14ac:dyDescent="0.3">
      <c r="A62" s="4">
        <v>24185</v>
      </c>
      <c r="B62" s="3" t="s">
        <v>40</v>
      </c>
      <c r="C62" s="3" t="s">
        <v>41</v>
      </c>
      <c r="D62" s="11">
        <v>10000</v>
      </c>
      <c r="E62" s="9" t="str" cm="1">
        <f t="array" ref="E62">_xlfn.IFS(D62&gt;149000, "Very High", D62&gt;99000, "High", D62&gt;59999, "Average", D62&gt;19999, "Low", D62&gt;0, "Poverty")</f>
        <v>Poverty</v>
      </c>
      <c r="F62" s="3">
        <v>1</v>
      </c>
      <c r="G62" t="s">
        <v>27</v>
      </c>
      <c r="H62" t="s">
        <v>25</v>
      </c>
      <c r="I62" s="3" t="s">
        <v>18</v>
      </c>
      <c r="J62" s="3">
        <v>1</v>
      </c>
      <c r="K62" t="s">
        <v>26</v>
      </c>
      <c r="L62" t="s">
        <v>17</v>
      </c>
      <c r="M62" s="3">
        <v>45</v>
      </c>
      <c r="N62" s="3" t="str" cm="1">
        <f t="array" ref="N62">_xlfn.IFS(M62&gt;59, "Pension Age", M62&gt;44, "Elderly (45+)", M62&gt;29, "Middle Age (30+)", M62&gt;22, "Adult (23+)", M62&gt;15, "Teen/Young Adult (16+)")</f>
        <v>Elderly (45+)</v>
      </c>
      <c r="O62" s="3" t="s">
        <v>18</v>
      </c>
    </row>
    <row r="63" spans="1:15" x14ac:dyDescent="0.3">
      <c r="A63" s="4">
        <v>19291</v>
      </c>
      <c r="B63" s="3" t="s">
        <v>40</v>
      </c>
      <c r="C63" s="3" t="s">
        <v>41</v>
      </c>
      <c r="D63" s="11">
        <v>10000</v>
      </c>
      <c r="E63" s="9" t="str" cm="1">
        <f t="array" ref="E63">_xlfn.IFS(D63&gt;149000, "Very High", D63&gt;99000, "High", D63&gt;59999, "Average", D63&gt;19999, "Low", D63&gt;0, "Poverty")</f>
        <v>Poverty</v>
      </c>
      <c r="F63" s="3">
        <v>2</v>
      </c>
      <c r="G63" t="s">
        <v>27</v>
      </c>
      <c r="H63" t="s">
        <v>25</v>
      </c>
      <c r="I63" s="3" t="s">
        <v>15</v>
      </c>
      <c r="J63" s="3">
        <v>0</v>
      </c>
      <c r="K63" t="s">
        <v>16</v>
      </c>
      <c r="L63" t="s">
        <v>17</v>
      </c>
      <c r="M63" s="3">
        <v>35</v>
      </c>
      <c r="N63" s="3" t="str" cm="1">
        <f t="array" ref="N63">_xlfn.IFS(M63&gt;59, "Pension Age", M63&gt;44, "Elderly (45+)", M63&gt;29, "Middle Age (30+)", M63&gt;22, "Adult (23+)", M63&gt;15, "Teen/Young Adult (16+)")</f>
        <v>Middle Age (30+)</v>
      </c>
      <c r="O63" s="3" t="s">
        <v>18</v>
      </c>
    </row>
    <row r="64" spans="1:15" x14ac:dyDescent="0.3">
      <c r="A64" s="4">
        <v>16713</v>
      </c>
      <c r="B64" s="3" t="s">
        <v>39</v>
      </c>
      <c r="C64" s="3" t="s">
        <v>42</v>
      </c>
      <c r="D64" s="11">
        <v>40000</v>
      </c>
      <c r="E64" s="9" t="str" cm="1">
        <f t="array" ref="E64">_xlfn.IFS(D64&gt;149000, "Very High", D64&gt;99000, "High", D64&gt;59999, "Average", D64&gt;19999, "Low", D64&gt;0, "Poverty")</f>
        <v>Low</v>
      </c>
      <c r="F64" s="3">
        <v>2</v>
      </c>
      <c r="G64" t="s">
        <v>13</v>
      </c>
      <c r="H64" t="s">
        <v>28</v>
      </c>
      <c r="I64" s="3" t="s">
        <v>15</v>
      </c>
      <c r="J64" s="3">
        <v>1</v>
      </c>
      <c r="K64" t="s">
        <v>16</v>
      </c>
      <c r="L64" t="s">
        <v>24</v>
      </c>
      <c r="M64" s="3">
        <v>52</v>
      </c>
      <c r="N64" s="3" t="str" cm="1">
        <f t="array" ref="N64">_xlfn.IFS(M64&gt;59, "Pension Age", M64&gt;44, "Elderly (45+)", M64&gt;29, "Middle Age (30+)", M64&gt;22, "Adult (23+)", M64&gt;15, "Teen/Young Adult (16+)")</f>
        <v>Elderly (45+)</v>
      </c>
      <c r="O64" s="3" t="s">
        <v>15</v>
      </c>
    </row>
    <row r="65" spans="1:15" x14ac:dyDescent="0.3">
      <c r="A65" s="4">
        <v>16185</v>
      </c>
      <c r="B65" s="3" t="s">
        <v>40</v>
      </c>
      <c r="C65" s="3" t="s">
        <v>42</v>
      </c>
      <c r="D65" s="11">
        <v>60000</v>
      </c>
      <c r="E65" s="9" t="str" cm="1">
        <f t="array" ref="E65">_xlfn.IFS(D65&gt;149000, "Very High", D65&gt;99000, "High", D65&gt;59999, "Average", D65&gt;19999, "Low", D65&gt;0, "Poverty")</f>
        <v>Average</v>
      </c>
      <c r="F65" s="3">
        <v>4</v>
      </c>
      <c r="G65" t="s">
        <v>13</v>
      </c>
      <c r="H65" t="s">
        <v>21</v>
      </c>
      <c r="I65" s="3" t="s">
        <v>15</v>
      </c>
      <c r="J65" s="3">
        <v>3</v>
      </c>
      <c r="K65" t="s">
        <v>30</v>
      </c>
      <c r="L65" t="s">
        <v>24</v>
      </c>
      <c r="M65" s="3">
        <v>41</v>
      </c>
      <c r="N65" s="3" t="str" cm="1">
        <f t="array" ref="N65">_xlfn.IFS(M65&gt;59, "Pension Age", M65&gt;44, "Elderly (45+)", M65&gt;29, "Middle Age (30+)", M65&gt;22, "Adult (23+)", M65&gt;15, "Teen/Young Adult (16+)")</f>
        <v>Middle Age (30+)</v>
      </c>
      <c r="O65" s="3" t="s">
        <v>18</v>
      </c>
    </row>
    <row r="66" spans="1:15" x14ac:dyDescent="0.3">
      <c r="A66" s="4">
        <v>14927</v>
      </c>
      <c r="B66" s="3" t="s">
        <v>39</v>
      </c>
      <c r="C66" s="3" t="s">
        <v>41</v>
      </c>
      <c r="D66" s="11">
        <v>30000</v>
      </c>
      <c r="E66" s="9" t="str" cm="1">
        <f t="array" ref="E66">_xlfn.IFS(D66&gt;149000, "Very High", D66&gt;99000, "High", D66&gt;59999, "Average", D66&gt;19999, "Low", D66&gt;0, "Poverty")</f>
        <v>Low</v>
      </c>
      <c r="F66" s="3">
        <v>1</v>
      </c>
      <c r="G66" t="s">
        <v>13</v>
      </c>
      <c r="H66" t="s">
        <v>20</v>
      </c>
      <c r="I66" s="3" t="s">
        <v>15</v>
      </c>
      <c r="J66" s="3">
        <v>0</v>
      </c>
      <c r="K66" t="s">
        <v>16</v>
      </c>
      <c r="L66" t="s">
        <v>17</v>
      </c>
      <c r="M66" s="3">
        <v>37</v>
      </c>
      <c r="N66" s="3" t="str" cm="1">
        <f t="array" ref="N66">_xlfn.IFS(M66&gt;59, "Pension Age", M66&gt;44, "Elderly (45+)", M66&gt;29, "Middle Age (30+)", M66&gt;22, "Adult (23+)", M66&gt;15, "Teen/Young Adult (16+)")</f>
        <v>Middle Age (30+)</v>
      </c>
      <c r="O66" s="3" t="s">
        <v>15</v>
      </c>
    </row>
    <row r="67" spans="1:15" x14ac:dyDescent="0.3">
      <c r="A67" s="4">
        <v>29337</v>
      </c>
      <c r="B67" s="3" t="s">
        <v>40</v>
      </c>
      <c r="C67" s="3" t="s">
        <v>42</v>
      </c>
      <c r="D67" s="11">
        <v>30000</v>
      </c>
      <c r="E67" s="9" t="str" cm="1">
        <f t="array" ref="E67">_xlfn.IFS(D67&gt;149000, "Very High", D67&gt;99000, "High", D67&gt;59999, "Average", D67&gt;19999, "Low", D67&gt;0, "Poverty")</f>
        <v>Low</v>
      </c>
      <c r="F67" s="3">
        <v>2</v>
      </c>
      <c r="G67" t="s">
        <v>19</v>
      </c>
      <c r="H67" t="s">
        <v>20</v>
      </c>
      <c r="I67" s="3" t="s">
        <v>15</v>
      </c>
      <c r="J67" s="3">
        <v>2</v>
      </c>
      <c r="K67" t="s">
        <v>23</v>
      </c>
      <c r="L67" t="s">
        <v>24</v>
      </c>
      <c r="M67" s="3">
        <v>68</v>
      </c>
      <c r="N67" s="3" t="str" cm="1">
        <f t="array" ref="N67">_xlfn.IFS(M67&gt;59, "Pension Age", M67&gt;44, "Elderly (45+)", M67&gt;29, "Middle Age (30+)", M67&gt;22, "Adult (23+)", M67&gt;15, "Teen/Young Adult (16+)")</f>
        <v>Pension Age</v>
      </c>
      <c r="O67" s="3" t="s">
        <v>18</v>
      </c>
    </row>
    <row r="68" spans="1:15" x14ac:dyDescent="0.3">
      <c r="A68" s="4">
        <v>29355</v>
      </c>
      <c r="B68" s="3" t="s">
        <v>39</v>
      </c>
      <c r="C68" s="3" t="s">
        <v>41</v>
      </c>
      <c r="D68" s="11">
        <v>40000</v>
      </c>
      <c r="E68" s="9" t="str" cm="1">
        <f t="array" ref="E68">_xlfn.IFS(D68&gt;149000, "Very High", D68&gt;99000, "High", D68&gt;59999, "Average", D68&gt;19999, "Low", D68&gt;0, "Poverty")</f>
        <v>Low</v>
      </c>
      <c r="F68" s="3">
        <v>0</v>
      </c>
      <c r="G68" t="s">
        <v>31</v>
      </c>
      <c r="H68" t="s">
        <v>20</v>
      </c>
      <c r="I68" s="3" t="s">
        <v>15</v>
      </c>
      <c r="J68" s="3">
        <v>0</v>
      </c>
      <c r="K68" t="s">
        <v>16</v>
      </c>
      <c r="L68" t="s">
        <v>17</v>
      </c>
      <c r="M68" s="3">
        <v>37</v>
      </c>
      <c r="N68" s="3" t="str" cm="1">
        <f t="array" ref="N68">_xlfn.IFS(M68&gt;59, "Pension Age", M68&gt;44, "Elderly (45+)", M68&gt;29, "Middle Age (30+)", M68&gt;22, "Adult (23+)", M68&gt;15, "Teen/Young Adult (16+)")</f>
        <v>Middle Age (30+)</v>
      </c>
      <c r="O68" s="3" t="s">
        <v>15</v>
      </c>
    </row>
    <row r="69" spans="1:15" x14ac:dyDescent="0.3">
      <c r="A69" s="4">
        <v>25303</v>
      </c>
      <c r="B69" s="3" t="s">
        <v>40</v>
      </c>
      <c r="C69" s="3" t="s">
        <v>42</v>
      </c>
      <c r="D69" s="11">
        <v>30000</v>
      </c>
      <c r="E69" s="9" t="str" cm="1">
        <f t="array" ref="E69">_xlfn.IFS(D69&gt;149000, "Very High", D69&gt;99000, "High", D69&gt;59999, "Average", D69&gt;19999, "Low", D69&gt;0, "Poverty")</f>
        <v>Low</v>
      </c>
      <c r="F69" s="3">
        <v>0</v>
      </c>
      <c r="G69" t="s">
        <v>27</v>
      </c>
      <c r="H69" t="s">
        <v>25</v>
      </c>
      <c r="I69" s="3" t="s">
        <v>15</v>
      </c>
      <c r="J69" s="3">
        <v>1</v>
      </c>
      <c r="K69" t="s">
        <v>22</v>
      </c>
      <c r="L69" t="s">
        <v>17</v>
      </c>
      <c r="M69" s="3">
        <v>33</v>
      </c>
      <c r="N69" s="3" t="str" cm="1">
        <f t="array" ref="N69">_xlfn.IFS(M69&gt;59, "Pension Age", M69&gt;44, "Elderly (45+)", M69&gt;29, "Middle Age (30+)", M69&gt;22, "Adult (23+)", M69&gt;15, "Teen/Young Adult (16+)")</f>
        <v>Middle Age (30+)</v>
      </c>
      <c r="O69" s="3" t="s">
        <v>15</v>
      </c>
    </row>
    <row r="70" spans="1:15" x14ac:dyDescent="0.3">
      <c r="A70" s="4">
        <v>14813</v>
      </c>
      <c r="B70" s="3" t="s">
        <v>40</v>
      </c>
      <c r="C70" s="3" t="s">
        <v>41</v>
      </c>
      <c r="D70" s="11">
        <v>20000</v>
      </c>
      <c r="E70" s="9" t="str" cm="1">
        <f t="array" ref="E70">_xlfn.IFS(D70&gt;149000, "Very High", D70&gt;99000, "High", D70&gt;59999, "Average", D70&gt;19999, "Low", D70&gt;0, "Poverty")</f>
        <v>Low</v>
      </c>
      <c r="F70" s="3">
        <v>4</v>
      </c>
      <c r="G70" t="s">
        <v>27</v>
      </c>
      <c r="H70" t="s">
        <v>25</v>
      </c>
      <c r="I70" s="3" t="s">
        <v>15</v>
      </c>
      <c r="J70" s="3">
        <v>1</v>
      </c>
      <c r="K70" t="s">
        <v>16</v>
      </c>
      <c r="L70" t="s">
        <v>17</v>
      </c>
      <c r="M70" s="3">
        <v>43</v>
      </c>
      <c r="N70" s="3" t="str" cm="1">
        <f t="array" ref="N70">_xlfn.IFS(M70&gt;59, "Pension Age", M70&gt;44, "Elderly (45+)", M70&gt;29, "Middle Age (30+)", M70&gt;22, "Adult (23+)", M70&gt;15, "Teen/Young Adult (16+)")</f>
        <v>Middle Age (30+)</v>
      </c>
      <c r="O70" s="3" t="s">
        <v>15</v>
      </c>
    </row>
    <row r="71" spans="1:15" x14ac:dyDescent="0.3">
      <c r="A71" s="4">
        <v>16438</v>
      </c>
      <c r="B71" s="3" t="s">
        <v>39</v>
      </c>
      <c r="C71" s="3" t="s">
        <v>41</v>
      </c>
      <c r="D71" s="11">
        <v>10000</v>
      </c>
      <c r="E71" s="9" t="str" cm="1">
        <f t="array" ref="E71">_xlfn.IFS(D71&gt;149000, "Very High", D71&gt;99000, "High", D71&gt;59999, "Average", D71&gt;19999, "Low", D71&gt;0, "Poverty")</f>
        <v>Poverty</v>
      </c>
      <c r="F71" s="3">
        <v>0</v>
      </c>
      <c r="G71" t="s">
        <v>29</v>
      </c>
      <c r="H71" t="s">
        <v>25</v>
      </c>
      <c r="I71" s="3" t="s">
        <v>18</v>
      </c>
      <c r="J71" s="3">
        <v>2</v>
      </c>
      <c r="K71" t="s">
        <v>16</v>
      </c>
      <c r="L71" t="s">
        <v>17</v>
      </c>
      <c r="M71" s="3">
        <v>30</v>
      </c>
      <c r="N71" s="3" t="str" cm="1">
        <f t="array" ref="N71">_xlfn.IFS(M71&gt;59, "Pension Age", M71&gt;44, "Elderly (45+)", M71&gt;29, "Middle Age (30+)", M71&gt;22, "Adult (23+)", M71&gt;15, "Teen/Young Adult (16+)")</f>
        <v>Middle Age (30+)</v>
      </c>
      <c r="O71" s="3" t="s">
        <v>18</v>
      </c>
    </row>
    <row r="72" spans="1:15" x14ac:dyDescent="0.3">
      <c r="A72" s="4">
        <v>14238</v>
      </c>
      <c r="B72" s="3" t="s">
        <v>39</v>
      </c>
      <c r="C72" s="3" t="s">
        <v>42</v>
      </c>
      <c r="D72" s="11">
        <v>120000</v>
      </c>
      <c r="E72" s="9" t="str" cm="1">
        <f t="array" ref="E72">_xlfn.IFS(D72&gt;149000, "Very High", D72&gt;99000, "High", D72&gt;59999, "Average", D72&gt;19999, "Low", D72&gt;0, "Poverty")</f>
        <v>High</v>
      </c>
      <c r="F72" s="3">
        <v>0</v>
      </c>
      <c r="G72" t="s">
        <v>29</v>
      </c>
      <c r="H72" t="s">
        <v>21</v>
      </c>
      <c r="I72" s="3" t="s">
        <v>15</v>
      </c>
      <c r="J72" s="3">
        <v>4</v>
      </c>
      <c r="K72" t="s">
        <v>30</v>
      </c>
      <c r="L72" t="s">
        <v>24</v>
      </c>
      <c r="M72" s="3">
        <v>36</v>
      </c>
      <c r="N72" s="3" t="str" cm="1">
        <f t="array" ref="N72">_xlfn.IFS(M72&gt;59, "Pension Age", M72&gt;44, "Elderly (45+)", M72&gt;29, "Middle Age (30+)", M72&gt;22, "Adult (23+)", M72&gt;15, "Teen/Young Adult (16+)")</f>
        <v>Middle Age (30+)</v>
      </c>
      <c r="O72" s="3" t="s">
        <v>15</v>
      </c>
    </row>
    <row r="73" spans="1:15" x14ac:dyDescent="0.3">
      <c r="A73" s="4">
        <v>16200</v>
      </c>
      <c r="B73" s="3" t="s">
        <v>40</v>
      </c>
      <c r="C73" s="3" t="s">
        <v>41</v>
      </c>
      <c r="D73" s="11">
        <v>10000</v>
      </c>
      <c r="E73" s="9" t="str" cm="1">
        <f t="array" ref="E73">_xlfn.IFS(D73&gt;149000, "Very High", D73&gt;99000, "High", D73&gt;59999, "Average", D73&gt;19999, "Low", D73&gt;0, "Poverty")</f>
        <v>Poverty</v>
      </c>
      <c r="F73" s="3">
        <v>0</v>
      </c>
      <c r="G73" t="s">
        <v>29</v>
      </c>
      <c r="H73" t="s">
        <v>25</v>
      </c>
      <c r="I73" s="3" t="s">
        <v>18</v>
      </c>
      <c r="J73" s="3">
        <v>2</v>
      </c>
      <c r="K73" t="s">
        <v>16</v>
      </c>
      <c r="L73" t="s">
        <v>17</v>
      </c>
      <c r="M73" s="3">
        <v>35</v>
      </c>
      <c r="N73" s="3" t="str" cm="1">
        <f t="array" ref="N73">_xlfn.IFS(M73&gt;59, "Pension Age", M73&gt;44, "Elderly (45+)", M73&gt;29, "Middle Age (30+)", M73&gt;22, "Adult (23+)", M73&gt;15, "Teen/Young Adult (16+)")</f>
        <v>Middle Age (30+)</v>
      </c>
      <c r="O73" s="3" t="s">
        <v>18</v>
      </c>
    </row>
    <row r="74" spans="1:15" x14ac:dyDescent="0.3">
      <c r="A74" s="4">
        <v>24857</v>
      </c>
      <c r="B74" s="3" t="s">
        <v>39</v>
      </c>
      <c r="C74" s="3" t="s">
        <v>41</v>
      </c>
      <c r="D74" s="11">
        <v>130000</v>
      </c>
      <c r="E74" s="9" t="str" cm="1">
        <f t="array" ref="E74">_xlfn.IFS(D74&gt;149000, "Very High", D74&gt;99000, "High", D74&gt;59999, "Average", D74&gt;19999, "Low", D74&gt;0, "Poverty")</f>
        <v>High</v>
      </c>
      <c r="F74" s="3">
        <v>3</v>
      </c>
      <c r="G74" t="s">
        <v>27</v>
      </c>
      <c r="H74" t="s">
        <v>21</v>
      </c>
      <c r="I74" s="3" t="s">
        <v>15</v>
      </c>
      <c r="J74" s="3">
        <v>4</v>
      </c>
      <c r="K74" t="s">
        <v>16</v>
      </c>
      <c r="L74" t="s">
        <v>17</v>
      </c>
      <c r="M74" s="3">
        <v>52</v>
      </c>
      <c r="N74" s="3" t="str" cm="1">
        <f t="array" ref="N74">_xlfn.IFS(M74&gt;59, "Pension Age", M74&gt;44, "Elderly (45+)", M74&gt;29, "Middle Age (30+)", M74&gt;22, "Adult (23+)", M74&gt;15, "Teen/Young Adult (16+)")</f>
        <v>Elderly (45+)</v>
      </c>
      <c r="O74" s="3" t="s">
        <v>18</v>
      </c>
    </row>
    <row r="75" spans="1:15" x14ac:dyDescent="0.3">
      <c r="A75" s="4">
        <v>26956</v>
      </c>
      <c r="B75" s="3" t="s">
        <v>40</v>
      </c>
      <c r="C75" s="3" t="s">
        <v>41</v>
      </c>
      <c r="D75" s="11">
        <v>20000</v>
      </c>
      <c r="E75" s="9" t="str" cm="1">
        <f t="array" ref="E75">_xlfn.IFS(D75&gt;149000, "Very High", D75&gt;99000, "High", D75&gt;59999, "Average", D75&gt;19999, "Low", D75&gt;0, "Poverty")</f>
        <v>Low</v>
      </c>
      <c r="F75" s="3">
        <v>0</v>
      </c>
      <c r="G75" t="s">
        <v>19</v>
      </c>
      <c r="H75" t="s">
        <v>25</v>
      </c>
      <c r="I75" s="3" t="s">
        <v>18</v>
      </c>
      <c r="J75" s="3">
        <v>1</v>
      </c>
      <c r="K75" t="s">
        <v>22</v>
      </c>
      <c r="L75" t="s">
        <v>17</v>
      </c>
      <c r="M75" s="3">
        <v>36</v>
      </c>
      <c r="N75" s="3" t="str" cm="1">
        <f t="array" ref="N75">_xlfn.IFS(M75&gt;59, "Pension Age", M75&gt;44, "Elderly (45+)", M75&gt;29, "Middle Age (30+)", M75&gt;22, "Adult (23+)", M75&gt;15, "Teen/Young Adult (16+)")</f>
        <v>Middle Age (30+)</v>
      </c>
      <c r="O75" s="3" t="s">
        <v>15</v>
      </c>
    </row>
    <row r="76" spans="1:15" x14ac:dyDescent="0.3">
      <c r="A76" s="4">
        <v>14517</v>
      </c>
      <c r="B76" s="3" t="s">
        <v>39</v>
      </c>
      <c r="C76" s="3" t="s">
        <v>41</v>
      </c>
      <c r="D76" s="11">
        <v>20000</v>
      </c>
      <c r="E76" s="9" t="str" cm="1">
        <f t="array" ref="E76">_xlfn.IFS(D76&gt;149000, "Very High", D76&gt;99000, "High", D76&gt;59999, "Average", D76&gt;19999, "Low", D76&gt;0, "Poverty")</f>
        <v>Low</v>
      </c>
      <c r="F76" s="3">
        <v>3</v>
      </c>
      <c r="G76" t="s">
        <v>27</v>
      </c>
      <c r="H76" t="s">
        <v>14</v>
      </c>
      <c r="I76" s="3" t="s">
        <v>18</v>
      </c>
      <c r="J76" s="3">
        <v>2</v>
      </c>
      <c r="K76" t="s">
        <v>26</v>
      </c>
      <c r="L76" t="s">
        <v>24</v>
      </c>
      <c r="M76" s="3">
        <v>62</v>
      </c>
      <c r="N76" s="3" t="str" cm="1">
        <f t="array" ref="N76">_xlfn.IFS(M76&gt;59, "Pension Age", M76&gt;44, "Elderly (45+)", M76&gt;29, "Middle Age (30+)", M76&gt;22, "Adult (23+)", M76&gt;15, "Teen/Young Adult (16+)")</f>
        <v>Pension Age</v>
      </c>
      <c r="O76" s="3" t="s">
        <v>18</v>
      </c>
    </row>
    <row r="77" spans="1:15" x14ac:dyDescent="0.3">
      <c r="A77" s="4">
        <v>12678</v>
      </c>
      <c r="B77" s="3" t="s">
        <v>40</v>
      </c>
      <c r="C77" s="3" t="s">
        <v>41</v>
      </c>
      <c r="D77" s="11">
        <v>130000</v>
      </c>
      <c r="E77" s="9" t="str" cm="1">
        <f t="array" ref="E77">_xlfn.IFS(D77&gt;149000, "Very High", D77&gt;99000, "High", D77&gt;59999, "Average", D77&gt;19999, "Low", D77&gt;0, "Poverty")</f>
        <v>High</v>
      </c>
      <c r="F77" s="3">
        <v>4</v>
      </c>
      <c r="G77" t="s">
        <v>27</v>
      </c>
      <c r="H77" t="s">
        <v>28</v>
      </c>
      <c r="I77" s="3" t="s">
        <v>15</v>
      </c>
      <c r="J77" s="3">
        <v>4</v>
      </c>
      <c r="K77" t="s">
        <v>16</v>
      </c>
      <c r="L77" t="s">
        <v>24</v>
      </c>
      <c r="M77" s="3">
        <v>31</v>
      </c>
      <c r="N77" s="3" t="str" cm="1">
        <f t="array" ref="N77">_xlfn.IFS(M77&gt;59, "Pension Age", M77&gt;44, "Elderly (45+)", M77&gt;29, "Middle Age (30+)", M77&gt;22, "Adult (23+)", M77&gt;15, "Teen/Young Adult (16+)")</f>
        <v>Middle Age (30+)</v>
      </c>
      <c r="O77" s="3" t="s">
        <v>18</v>
      </c>
    </row>
    <row r="78" spans="1:15" x14ac:dyDescent="0.3">
      <c r="A78" s="4">
        <v>16188</v>
      </c>
      <c r="B78" s="3" t="s">
        <v>40</v>
      </c>
      <c r="C78" s="3" t="s">
        <v>41</v>
      </c>
      <c r="D78" s="11">
        <v>20000</v>
      </c>
      <c r="E78" s="9" t="str" cm="1">
        <f t="array" ref="E78">_xlfn.IFS(D78&gt;149000, "Very High", D78&gt;99000, "High", D78&gt;59999, "Average", D78&gt;19999, "Low", D78&gt;0, "Poverty")</f>
        <v>Low</v>
      </c>
      <c r="F78" s="3">
        <v>0</v>
      </c>
      <c r="G78" t="s">
        <v>29</v>
      </c>
      <c r="H78" t="s">
        <v>25</v>
      </c>
      <c r="I78" s="3" t="s">
        <v>18</v>
      </c>
      <c r="J78" s="3">
        <v>2</v>
      </c>
      <c r="K78" t="s">
        <v>26</v>
      </c>
      <c r="L78" t="s">
        <v>17</v>
      </c>
      <c r="M78" s="3">
        <v>26</v>
      </c>
      <c r="N78" s="3" t="str" cm="1">
        <f t="array" ref="N78">_xlfn.IFS(M78&gt;59, "Pension Age", M78&gt;44, "Elderly (45+)", M78&gt;29, "Middle Age (30+)", M78&gt;22, "Adult (23+)", M78&gt;15, "Teen/Young Adult (16+)")</f>
        <v>Adult (23+)</v>
      </c>
      <c r="O78" s="3" t="s">
        <v>18</v>
      </c>
    </row>
    <row r="79" spans="1:15" x14ac:dyDescent="0.3">
      <c r="A79" s="4">
        <v>27969</v>
      </c>
      <c r="B79" s="3" t="s">
        <v>39</v>
      </c>
      <c r="C79" s="3" t="s">
        <v>42</v>
      </c>
      <c r="D79" s="11">
        <v>80000</v>
      </c>
      <c r="E79" s="9" t="str" cm="1">
        <f t="array" ref="E79">_xlfn.IFS(D79&gt;149000, "Very High", D79&gt;99000, "High", D79&gt;59999, "Average", D79&gt;19999, "Low", D79&gt;0, "Poverty")</f>
        <v>Average</v>
      </c>
      <c r="F79" s="3">
        <v>0</v>
      </c>
      <c r="G79" t="s">
        <v>13</v>
      </c>
      <c r="H79" t="s">
        <v>21</v>
      </c>
      <c r="I79" s="3" t="s">
        <v>15</v>
      </c>
      <c r="J79" s="3">
        <v>2</v>
      </c>
      <c r="K79" t="s">
        <v>30</v>
      </c>
      <c r="L79" t="s">
        <v>24</v>
      </c>
      <c r="M79" s="3">
        <v>29</v>
      </c>
      <c r="N79" s="3" t="str" cm="1">
        <f t="array" ref="N79">_xlfn.IFS(M79&gt;59, "Pension Age", M79&gt;44, "Elderly (45+)", M79&gt;29, "Middle Age (30+)", M79&gt;22, "Adult (23+)", M79&gt;15, "Teen/Young Adult (16+)")</f>
        <v>Adult (23+)</v>
      </c>
      <c r="O79" s="3" t="s">
        <v>15</v>
      </c>
    </row>
    <row r="80" spans="1:15" x14ac:dyDescent="0.3">
      <c r="A80" s="4">
        <v>15752</v>
      </c>
      <c r="B80" s="3" t="s">
        <v>39</v>
      </c>
      <c r="C80" s="3" t="s">
        <v>42</v>
      </c>
      <c r="D80" s="11">
        <v>80000</v>
      </c>
      <c r="E80" s="9" t="str" cm="1">
        <f t="array" ref="E80">_xlfn.IFS(D80&gt;149000, "Very High", D80&gt;99000, "High", D80&gt;59999, "Average", D80&gt;19999, "Low", D80&gt;0, "Poverty")</f>
        <v>Average</v>
      </c>
      <c r="F80" s="3">
        <v>2</v>
      </c>
      <c r="G80" t="s">
        <v>27</v>
      </c>
      <c r="H80" t="s">
        <v>14</v>
      </c>
      <c r="I80" s="3" t="s">
        <v>18</v>
      </c>
      <c r="J80" s="3">
        <v>2</v>
      </c>
      <c r="K80" t="s">
        <v>26</v>
      </c>
      <c r="L80" t="s">
        <v>24</v>
      </c>
      <c r="M80" s="3">
        <v>50</v>
      </c>
      <c r="N80" s="3" t="str" cm="1">
        <f t="array" ref="N80">_xlfn.IFS(M80&gt;59, "Pension Age", M80&gt;44, "Elderly (45+)", M80&gt;29, "Middle Age (30+)", M80&gt;22, "Adult (23+)", M80&gt;15, "Teen/Young Adult (16+)")</f>
        <v>Elderly (45+)</v>
      </c>
      <c r="O80" s="3" t="s">
        <v>15</v>
      </c>
    </row>
    <row r="81" spans="1:15" x14ac:dyDescent="0.3">
      <c r="A81" s="4">
        <v>27745</v>
      </c>
      <c r="B81" s="3" t="s">
        <v>40</v>
      </c>
      <c r="C81" s="3" t="s">
        <v>42</v>
      </c>
      <c r="D81" s="11">
        <v>40000</v>
      </c>
      <c r="E81" s="9" t="str" cm="1">
        <f t="array" ref="E81">_xlfn.IFS(D81&gt;149000, "Very High", D81&gt;99000, "High", D81&gt;59999, "Average", D81&gt;19999, "Low", D81&gt;0, "Poverty")</f>
        <v>Low</v>
      </c>
      <c r="F81" s="3">
        <v>2</v>
      </c>
      <c r="G81" t="s">
        <v>13</v>
      </c>
      <c r="H81" t="s">
        <v>28</v>
      </c>
      <c r="I81" s="3" t="s">
        <v>15</v>
      </c>
      <c r="J81" s="3">
        <v>2</v>
      </c>
      <c r="K81" t="s">
        <v>23</v>
      </c>
      <c r="L81" t="s">
        <v>24</v>
      </c>
      <c r="M81" s="3">
        <v>63</v>
      </c>
      <c r="N81" s="3" t="str" cm="1">
        <f t="array" ref="N81">_xlfn.IFS(M81&gt;59, "Pension Age", M81&gt;44, "Elderly (45+)", M81&gt;29, "Middle Age (30+)", M81&gt;22, "Adult (23+)", M81&gt;15, "Teen/Young Adult (16+)")</f>
        <v>Pension Age</v>
      </c>
      <c r="O81" s="3" t="s">
        <v>15</v>
      </c>
    </row>
    <row r="82" spans="1:15" x14ac:dyDescent="0.3">
      <c r="A82" s="4">
        <v>20828</v>
      </c>
      <c r="B82" s="3" t="s">
        <v>39</v>
      </c>
      <c r="C82" s="3" t="s">
        <v>41</v>
      </c>
      <c r="D82" s="11">
        <v>30000</v>
      </c>
      <c r="E82" s="9" t="str" cm="1">
        <f t="array" ref="E82">_xlfn.IFS(D82&gt;149000, "Very High", D82&gt;99000, "High", D82&gt;59999, "Average", D82&gt;19999, "Low", D82&gt;0, "Poverty")</f>
        <v>Low</v>
      </c>
      <c r="F82" s="3">
        <v>4</v>
      </c>
      <c r="G82" t="s">
        <v>31</v>
      </c>
      <c r="H82" t="s">
        <v>20</v>
      </c>
      <c r="I82" s="3" t="s">
        <v>15</v>
      </c>
      <c r="J82" s="3">
        <v>0</v>
      </c>
      <c r="K82" t="s">
        <v>16</v>
      </c>
      <c r="L82" t="s">
        <v>17</v>
      </c>
      <c r="M82" s="3">
        <v>45</v>
      </c>
      <c r="N82" s="3" t="str" cm="1">
        <f t="array" ref="N82">_xlfn.IFS(M82&gt;59, "Pension Age", M82&gt;44, "Elderly (45+)", M82&gt;29, "Middle Age (30+)", M82&gt;22, "Adult (23+)", M82&gt;15, "Teen/Young Adult (16+)")</f>
        <v>Elderly (45+)</v>
      </c>
      <c r="O82" s="3" t="s">
        <v>15</v>
      </c>
    </row>
    <row r="83" spans="1:15" x14ac:dyDescent="0.3">
      <c r="A83" s="4">
        <v>19461</v>
      </c>
      <c r="B83" s="3" t="s">
        <v>40</v>
      </c>
      <c r="C83" s="3" t="s">
        <v>41</v>
      </c>
      <c r="D83" s="11">
        <v>10000</v>
      </c>
      <c r="E83" s="9" t="str" cm="1">
        <f t="array" ref="E83">_xlfn.IFS(D83&gt;149000, "Very High", D83&gt;99000, "High", D83&gt;59999, "Average", D83&gt;19999, "Low", D83&gt;0, "Poverty")</f>
        <v>Poverty</v>
      </c>
      <c r="F83" s="3">
        <v>4</v>
      </c>
      <c r="G83" t="s">
        <v>29</v>
      </c>
      <c r="H83" t="s">
        <v>25</v>
      </c>
      <c r="I83" s="3" t="s">
        <v>15</v>
      </c>
      <c r="J83" s="3">
        <v>2</v>
      </c>
      <c r="K83" t="s">
        <v>16</v>
      </c>
      <c r="L83" t="s">
        <v>17</v>
      </c>
      <c r="M83" s="3">
        <v>40</v>
      </c>
      <c r="N83" s="3" t="str" cm="1">
        <f t="array" ref="N83">_xlfn.IFS(M83&gt;59, "Pension Age", M83&gt;44, "Elderly (45+)", M83&gt;29, "Middle Age (30+)", M83&gt;22, "Adult (23+)", M83&gt;15, "Teen/Young Adult (16+)")</f>
        <v>Middle Age (30+)</v>
      </c>
      <c r="O83" s="3" t="s">
        <v>18</v>
      </c>
    </row>
    <row r="84" spans="1:15" x14ac:dyDescent="0.3">
      <c r="A84" s="4">
        <v>26941</v>
      </c>
      <c r="B84" s="3" t="s">
        <v>39</v>
      </c>
      <c r="C84" s="3" t="s">
        <v>42</v>
      </c>
      <c r="D84" s="11">
        <v>30000</v>
      </c>
      <c r="E84" s="9" t="str" cm="1">
        <f t="array" ref="E84">_xlfn.IFS(D84&gt;149000, "Very High", D84&gt;99000, "High", D84&gt;59999, "Average", D84&gt;19999, "Low", D84&gt;0, "Poverty")</f>
        <v>Low</v>
      </c>
      <c r="F84" s="3">
        <v>0</v>
      </c>
      <c r="G84" t="s">
        <v>13</v>
      </c>
      <c r="H84" t="s">
        <v>20</v>
      </c>
      <c r="I84" s="3" t="s">
        <v>15</v>
      </c>
      <c r="J84" s="3">
        <v>0</v>
      </c>
      <c r="K84" t="s">
        <v>16</v>
      </c>
      <c r="L84" t="s">
        <v>17</v>
      </c>
      <c r="M84" s="3">
        <v>47</v>
      </c>
      <c r="N84" s="3" t="str" cm="1">
        <f t="array" ref="N84">_xlfn.IFS(M84&gt;59, "Pension Age", M84&gt;44, "Elderly (45+)", M84&gt;29, "Middle Age (30+)", M84&gt;22, "Adult (23+)", M84&gt;15, "Teen/Young Adult (16+)")</f>
        <v>Elderly (45+)</v>
      </c>
      <c r="O84" s="3" t="s">
        <v>15</v>
      </c>
    </row>
    <row r="85" spans="1:15" x14ac:dyDescent="0.3">
      <c r="A85" s="4">
        <v>28412</v>
      </c>
      <c r="B85" s="3" t="s">
        <v>40</v>
      </c>
      <c r="C85" s="3" t="s">
        <v>42</v>
      </c>
      <c r="D85" s="11">
        <v>20000</v>
      </c>
      <c r="E85" s="9" t="str" cm="1">
        <f t="array" ref="E85">_xlfn.IFS(D85&gt;149000, "Very High", D85&gt;99000, "High", D85&gt;59999, "Average", D85&gt;19999, "Low", D85&gt;0, "Poverty")</f>
        <v>Low</v>
      </c>
      <c r="F85" s="3">
        <v>0</v>
      </c>
      <c r="G85" t="s">
        <v>27</v>
      </c>
      <c r="H85" t="s">
        <v>25</v>
      </c>
      <c r="I85" s="3" t="s">
        <v>18</v>
      </c>
      <c r="J85" s="3">
        <v>1</v>
      </c>
      <c r="K85" t="s">
        <v>22</v>
      </c>
      <c r="L85" t="s">
        <v>17</v>
      </c>
      <c r="M85" s="3">
        <v>29</v>
      </c>
      <c r="N85" s="3" t="str" cm="1">
        <f t="array" ref="N85">_xlfn.IFS(M85&gt;59, "Pension Age", M85&gt;44, "Elderly (45+)", M85&gt;29, "Middle Age (30+)", M85&gt;22, "Adult (23+)", M85&gt;15, "Teen/Young Adult (16+)")</f>
        <v>Adult (23+)</v>
      </c>
      <c r="O85" s="3" t="s">
        <v>18</v>
      </c>
    </row>
    <row r="86" spans="1:15" x14ac:dyDescent="0.3">
      <c r="A86" s="4">
        <v>24485</v>
      </c>
      <c r="B86" s="3" t="s">
        <v>40</v>
      </c>
      <c r="C86" s="3" t="s">
        <v>42</v>
      </c>
      <c r="D86" s="11">
        <v>40000</v>
      </c>
      <c r="E86" s="9" t="str" cm="1">
        <f t="array" ref="E86">_xlfn.IFS(D86&gt;149000, "Very High", D86&gt;99000, "High", D86&gt;59999, "Average", D86&gt;19999, "Low", D86&gt;0, "Poverty")</f>
        <v>Low</v>
      </c>
      <c r="F86" s="3">
        <v>2</v>
      </c>
      <c r="G86" t="s">
        <v>13</v>
      </c>
      <c r="H86" t="s">
        <v>28</v>
      </c>
      <c r="I86" s="3" t="s">
        <v>18</v>
      </c>
      <c r="J86" s="3">
        <v>1</v>
      </c>
      <c r="K86" t="s">
        <v>23</v>
      </c>
      <c r="L86" t="s">
        <v>24</v>
      </c>
      <c r="M86" s="3">
        <v>52</v>
      </c>
      <c r="N86" s="3" t="str" cm="1">
        <f t="array" ref="N86">_xlfn.IFS(M86&gt;59, "Pension Age", M86&gt;44, "Elderly (45+)", M86&gt;29, "Middle Age (30+)", M86&gt;22, "Adult (23+)", M86&gt;15, "Teen/Young Adult (16+)")</f>
        <v>Elderly (45+)</v>
      </c>
      <c r="O86" s="3" t="s">
        <v>15</v>
      </c>
    </row>
    <row r="87" spans="1:15" x14ac:dyDescent="0.3">
      <c r="A87" s="4">
        <v>16514</v>
      </c>
      <c r="B87" s="3" t="s">
        <v>40</v>
      </c>
      <c r="C87" s="3" t="s">
        <v>42</v>
      </c>
      <c r="D87" s="11">
        <v>10000</v>
      </c>
      <c r="E87" s="9" t="str" cm="1">
        <f t="array" ref="E87">_xlfn.IFS(D87&gt;149000, "Very High", D87&gt;99000, "High", D87&gt;59999, "Average", D87&gt;19999, "Low", D87&gt;0, "Poverty")</f>
        <v>Poverty</v>
      </c>
      <c r="F87" s="3">
        <v>0</v>
      </c>
      <c r="G87" t="s">
        <v>19</v>
      </c>
      <c r="H87" t="s">
        <v>25</v>
      </c>
      <c r="I87" s="3" t="s">
        <v>15</v>
      </c>
      <c r="J87" s="3">
        <v>1</v>
      </c>
      <c r="K87" t="s">
        <v>26</v>
      </c>
      <c r="L87" t="s">
        <v>24</v>
      </c>
      <c r="M87" s="3">
        <v>26</v>
      </c>
      <c r="N87" s="3" t="str" cm="1">
        <f t="array" ref="N87">_xlfn.IFS(M87&gt;59, "Pension Age", M87&gt;44, "Elderly (45+)", M87&gt;29, "Middle Age (30+)", M87&gt;22, "Adult (23+)", M87&gt;15, "Teen/Young Adult (16+)")</f>
        <v>Adult (23+)</v>
      </c>
      <c r="O87" s="3" t="s">
        <v>15</v>
      </c>
    </row>
    <row r="88" spans="1:15" x14ac:dyDescent="0.3">
      <c r="A88" s="4">
        <v>17191</v>
      </c>
      <c r="B88" s="3" t="s">
        <v>40</v>
      </c>
      <c r="C88" s="3" t="s">
        <v>42</v>
      </c>
      <c r="D88" s="11">
        <v>130000</v>
      </c>
      <c r="E88" s="9" t="str" cm="1">
        <f t="array" ref="E88">_xlfn.IFS(D88&gt;149000, "Very High", D88&gt;99000, "High", D88&gt;59999, "Average", D88&gt;19999, "Low", D88&gt;0, "Poverty")</f>
        <v>High</v>
      </c>
      <c r="F88" s="3">
        <v>3</v>
      </c>
      <c r="G88" t="s">
        <v>19</v>
      </c>
      <c r="H88" t="s">
        <v>21</v>
      </c>
      <c r="I88" s="3" t="s">
        <v>18</v>
      </c>
      <c r="J88" s="3">
        <v>3</v>
      </c>
      <c r="K88" t="s">
        <v>16</v>
      </c>
      <c r="L88" t="s">
        <v>17</v>
      </c>
      <c r="M88" s="3">
        <v>51</v>
      </c>
      <c r="N88" s="3" t="str" cm="1">
        <f t="array" ref="N88">_xlfn.IFS(M88&gt;59, "Pension Age", M88&gt;44, "Elderly (45+)", M88&gt;29, "Middle Age (30+)", M88&gt;22, "Adult (23+)", M88&gt;15, "Teen/Young Adult (16+)")</f>
        <v>Elderly (45+)</v>
      </c>
      <c r="O88" s="3" t="s">
        <v>15</v>
      </c>
    </row>
    <row r="89" spans="1:15" x14ac:dyDescent="0.3">
      <c r="A89" s="4">
        <v>19608</v>
      </c>
      <c r="B89" s="3" t="s">
        <v>39</v>
      </c>
      <c r="C89" s="3" t="s">
        <v>42</v>
      </c>
      <c r="D89" s="11">
        <v>80000</v>
      </c>
      <c r="E89" s="9" t="str" cm="1">
        <f t="array" ref="E89">_xlfn.IFS(D89&gt;149000, "Very High", D89&gt;99000, "High", D89&gt;59999, "Average", D89&gt;19999, "Low", D89&gt;0, "Poverty")</f>
        <v>Average</v>
      </c>
      <c r="F89" s="3">
        <v>5</v>
      </c>
      <c r="G89" t="s">
        <v>13</v>
      </c>
      <c r="H89" t="s">
        <v>21</v>
      </c>
      <c r="I89" s="3" t="s">
        <v>15</v>
      </c>
      <c r="J89" s="3">
        <v>4</v>
      </c>
      <c r="K89" t="s">
        <v>26</v>
      </c>
      <c r="L89" t="s">
        <v>24</v>
      </c>
      <c r="M89" s="3">
        <v>40</v>
      </c>
      <c r="N89" s="3" t="str" cm="1">
        <f t="array" ref="N89">_xlfn.IFS(M89&gt;59, "Pension Age", M89&gt;44, "Elderly (45+)", M89&gt;29, "Middle Age (30+)", M89&gt;22, "Adult (23+)", M89&gt;15, "Teen/Young Adult (16+)")</f>
        <v>Middle Age (30+)</v>
      </c>
      <c r="O89" s="3" t="s">
        <v>18</v>
      </c>
    </row>
    <row r="90" spans="1:15" x14ac:dyDescent="0.3">
      <c r="A90" s="4">
        <v>24119</v>
      </c>
      <c r="B90" s="3" t="s">
        <v>40</v>
      </c>
      <c r="C90" s="3" t="s">
        <v>42</v>
      </c>
      <c r="D90" s="11">
        <v>30000</v>
      </c>
      <c r="E90" s="9" t="str" cm="1">
        <f t="array" ref="E90">_xlfn.IFS(D90&gt;149000, "Very High", D90&gt;99000, "High", D90&gt;59999, "Average", D90&gt;19999, "Low", D90&gt;0, "Poverty")</f>
        <v>Low</v>
      </c>
      <c r="F90" s="3">
        <v>0</v>
      </c>
      <c r="G90" t="s">
        <v>19</v>
      </c>
      <c r="H90" t="s">
        <v>20</v>
      </c>
      <c r="I90" s="3" t="s">
        <v>18</v>
      </c>
      <c r="J90" s="3">
        <v>1</v>
      </c>
      <c r="K90" t="s">
        <v>22</v>
      </c>
      <c r="L90" t="s">
        <v>17</v>
      </c>
      <c r="M90" s="3">
        <v>29</v>
      </c>
      <c r="N90" s="3" t="str" cm="1">
        <f t="array" ref="N90">_xlfn.IFS(M90&gt;59, "Pension Age", M90&gt;44, "Elderly (45+)", M90&gt;29, "Middle Age (30+)", M90&gt;22, "Adult (23+)", M90&gt;15, "Teen/Young Adult (16+)")</f>
        <v>Adult (23+)</v>
      </c>
      <c r="O90" s="3" t="s">
        <v>18</v>
      </c>
    </row>
    <row r="91" spans="1:15" x14ac:dyDescent="0.3">
      <c r="A91" s="4">
        <v>25458</v>
      </c>
      <c r="B91" s="3" t="s">
        <v>39</v>
      </c>
      <c r="C91" s="3" t="s">
        <v>42</v>
      </c>
      <c r="D91" s="11">
        <v>20000</v>
      </c>
      <c r="E91" s="9" t="str" cm="1">
        <f t="array" ref="E91">_xlfn.IFS(D91&gt;149000, "Very High", D91&gt;99000, "High", D91&gt;59999, "Average", D91&gt;19999, "Low", D91&gt;0, "Poverty")</f>
        <v>Low</v>
      </c>
      <c r="F91" s="3">
        <v>1</v>
      </c>
      <c r="G91" t="s">
        <v>27</v>
      </c>
      <c r="H91" t="s">
        <v>25</v>
      </c>
      <c r="I91" s="3" t="s">
        <v>18</v>
      </c>
      <c r="J91" s="3">
        <v>1</v>
      </c>
      <c r="K91" t="s">
        <v>26</v>
      </c>
      <c r="L91" t="s">
        <v>17</v>
      </c>
      <c r="M91" s="3">
        <v>40</v>
      </c>
      <c r="N91" s="3" t="str" cm="1">
        <f t="array" ref="N91">_xlfn.IFS(M91&gt;59, "Pension Age", M91&gt;44, "Elderly (45+)", M91&gt;29, "Middle Age (30+)", M91&gt;22, "Adult (23+)", M91&gt;15, "Teen/Young Adult (16+)")</f>
        <v>Middle Age (30+)</v>
      </c>
      <c r="O91" s="3" t="s">
        <v>15</v>
      </c>
    </row>
    <row r="92" spans="1:15" x14ac:dyDescent="0.3">
      <c r="A92" s="4">
        <v>26886</v>
      </c>
      <c r="B92" s="3" t="s">
        <v>40</v>
      </c>
      <c r="C92" s="3" t="s">
        <v>41</v>
      </c>
      <c r="D92" s="11">
        <v>30000</v>
      </c>
      <c r="E92" s="9" t="str" cm="1">
        <f t="array" ref="E92">_xlfn.IFS(D92&gt;149000, "Very High", D92&gt;99000, "High", D92&gt;59999, "Average", D92&gt;19999, "Low", D92&gt;0, "Poverty")</f>
        <v>Low</v>
      </c>
      <c r="F92" s="3">
        <v>0</v>
      </c>
      <c r="G92" t="s">
        <v>19</v>
      </c>
      <c r="H92" t="s">
        <v>20</v>
      </c>
      <c r="I92" s="3" t="s">
        <v>18</v>
      </c>
      <c r="J92" s="3">
        <v>1</v>
      </c>
      <c r="K92" t="s">
        <v>16</v>
      </c>
      <c r="L92" t="s">
        <v>17</v>
      </c>
      <c r="M92" s="3">
        <v>29</v>
      </c>
      <c r="N92" s="3" t="str" cm="1">
        <f t="array" ref="N92">_xlfn.IFS(M92&gt;59, "Pension Age", M92&gt;44, "Elderly (45+)", M92&gt;29, "Middle Age (30+)", M92&gt;22, "Adult (23+)", M92&gt;15, "Teen/Young Adult (16+)")</f>
        <v>Adult (23+)</v>
      </c>
      <c r="O92" s="3" t="s">
        <v>15</v>
      </c>
    </row>
    <row r="93" spans="1:15" x14ac:dyDescent="0.3">
      <c r="A93" s="4">
        <v>28436</v>
      </c>
      <c r="B93" s="3" t="s">
        <v>40</v>
      </c>
      <c r="C93" s="3" t="s">
        <v>42</v>
      </c>
      <c r="D93" s="11">
        <v>30000</v>
      </c>
      <c r="E93" s="9" t="str" cm="1">
        <f t="array" ref="E93">_xlfn.IFS(D93&gt;149000, "Very High", D93&gt;99000, "High", D93&gt;59999, "Average", D93&gt;19999, "Low", D93&gt;0, "Poverty")</f>
        <v>Low</v>
      </c>
      <c r="F93" s="3">
        <v>0</v>
      </c>
      <c r="G93" t="s">
        <v>19</v>
      </c>
      <c r="H93" t="s">
        <v>20</v>
      </c>
      <c r="I93" s="3" t="s">
        <v>18</v>
      </c>
      <c r="J93" s="3">
        <v>1</v>
      </c>
      <c r="K93" t="s">
        <v>16</v>
      </c>
      <c r="L93" t="s">
        <v>17</v>
      </c>
      <c r="M93" s="3">
        <v>30</v>
      </c>
      <c r="N93" s="3" t="str" cm="1">
        <f t="array" ref="N93">_xlfn.IFS(M93&gt;59, "Pension Age", M93&gt;44, "Elderly (45+)", M93&gt;29, "Middle Age (30+)", M93&gt;22, "Adult (23+)", M93&gt;15, "Teen/Young Adult (16+)")</f>
        <v>Middle Age (30+)</v>
      </c>
      <c r="O93" s="3" t="s">
        <v>15</v>
      </c>
    </row>
    <row r="94" spans="1:15" x14ac:dyDescent="0.3">
      <c r="A94" s="4">
        <v>19562</v>
      </c>
      <c r="B94" s="3" t="s">
        <v>40</v>
      </c>
      <c r="C94" s="3" t="s">
        <v>41</v>
      </c>
      <c r="D94" s="11">
        <v>60000</v>
      </c>
      <c r="E94" s="9" t="str" cm="1">
        <f t="array" ref="E94">_xlfn.IFS(D94&gt;149000, "Very High", D94&gt;99000, "High", D94&gt;59999, "Average", D94&gt;19999, "Low", D94&gt;0, "Poverty")</f>
        <v>Average</v>
      </c>
      <c r="F94" s="3">
        <v>2</v>
      </c>
      <c r="G94" t="s">
        <v>13</v>
      </c>
      <c r="H94" t="s">
        <v>21</v>
      </c>
      <c r="I94" s="3" t="s">
        <v>15</v>
      </c>
      <c r="J94" s="3">
        <v>1</v>
      </c>
      <c r="K94" t="s">
        <v>22</v>
      </c>
      <c r="L94" t="s">
        <v>24</v>
      </c>
      <c r="M94" s="3">
        <v>37</v>
      </c>
      <c r="N94" s="3" t="str" cm="1">
        <f t="array" ref="N94">_xlfn.IFS(M94&gt;59, "Pension Age", M94&gt;44, "Elderly (45+)", M94&gt;29, "Middle Age (30+)", M94&gt;22, "Adult (23+)", M94&gt;15, "Teen/Young Adult (16+)")</f>
        <v>Middle Age (30+)</v>
      </c>
      <c r="O94" s="3" t="s">
        <v>15</v>
      </c>
    </row>
    <row r="95" spans="1:15" x14ac:dyDescent="0.3">
      <c r="A95" s="4">
        <v>15608</v>
      </c>
      <c r="B95" s="3" t="s">
        <v>40</v>
      </c>
      <c r="C95" s="3" t="s">
        <v>41</v>
      </c>
      <c r="D95" s="11">
        <v>30000</v>
      </c>
      <c r="E95" s="9" t="str" cm="1">
        <f t="array" ref="E95">_xlfn.IFS(D95&gt;149000, "Very High", D95&gt;99000, "High", D95&gt;59999, "Average", D95&gt;19999, "Low", D95&gt;0, "Poverty")</f>
        <v>Low</v>
      </c>
      <c r="F95" s="3">
        <v>0</v>
      </c>
      <c r="G95" t="s">
        <v>19</v>
      </c>
      <c r="H95" t="s">
        <v>20</v>
      </c>
      <c r="I95" s="3" t="s">
        <v>18</v>
      </c>
      <c r="J95" s="3">
        <v>1</v>
      </c>
      <c r="K95" t="s">
        <v>22</v>
      </c>
      <c r="L95" t="s">
        <v>17</v>
      </c>
      <c r="M95" s="3">
        <v>33</v>
      </c>
      <c r="N95" s="3" t="str" cm="1">
        <f t="array" ref="N95">_xlfn.IFS(M95&gt;59, "Pension Age", M95&gt;44, "Elderly (45+)", M95&gt;29, "Middle Age (30+)", M95&gt;22, "Adult (23+)", M95&gt;15, "Teen/Young Adult (16+)")</f>
        <v>Middle Age (30+)</v>
      </c>
      <c r="O95" s="3" t="s">
        <v>18</v>
      </c>
    </row>
    <row r="96" spans="1:15" x14ac:dyDescent="0.3">
      <c r="A96" s="4">
        <v>16487</v>
      </c>
      <c r="B96" s="3" t="s">
        <v>40</v>
      </c>
      <c r="C96" s="3" t="s">
        <v>41</v>
      </c>
      <c r="D96" s="11">
        <v>30000</v>
      </c>
      <c r="E96" s="9" t="str" cm="1">
        <f t="array" ref="E96">_xlfn.IFS(D96&gt;149000, "Very High", D96&gt;99000, "High", D96&gt;59999, "Average", D96&gt;19999, "Low", D96&gt;0, "Poverty")</f>
        <v>Low</v>
      </c>
      <c r="F96" s="3">
        <v>3</v>
      </c>
      <c r="G96" t="s">
        <v>27</v>
      </c>
      <c r="H96" t="s">
        <v>14</v>
      </c>
      <c r="I96" s="3" t="s">
        <v>15</v>
      </c>
      <c r="J96" s="3">
        <v>2</v>
      </c>
      <c r="K96" t="s">
        <v>23</v>
      </c>
      <c r="L96" t="s">
        <v>24</v>
      </c>
      <c r="M96" s="3">
        <v>55</v>
      </c>
      <c r="N96" s="3" t="str" cm="1">
        <f t="array" ref="N96">_xlfn.IFS(M96&gt;59, "Pension Age", M96&gt;44, "Elderly (45+)", M96&gt;29, "Middle Age (30+)", M96&gt;22, "Adult (23+)", M96&gt;15, "Teen/Young Adult (16+)")</f>
        <v>Elderly (45+)</v>
      </c>
      <c r="O96" s="3" t="s">
        <v>18</v>
      </c>
    </row>
    <row r="97" spans="1:15" x14ac:dyDescent="0.3">
      <c r="A97" s="4">
        <v>17197</v>
      </c>
      <c r="B97" s="3" t="s">
        <v>40</v>
      </c>
      <c r="C97" s="3" t="s">
        <v>41</v>
      </c>
      <c r="D97" s="11">
        <v>90000</v>
      </c>
      <c r="E97" s="9" t="str" cm="1">
        <f t="array" ref="E97">_xlfn.IFS(D97&gt;149000, "Very High", D97&gt;99000, "High", D97&gt;59999, "Average", D97&gt;19999, "Low", D97&gt;0, "Poverty")</f>
        <v>Average</v>
      </c>
      <c r="F97" s="3">
        <v>5</v>
      </c>
      <c r="G97" t="s">
        <v>19</v>
      </c>
      <c r="H97" t="s">
        <v>21</v>
      </c>
      <c r="I97" s="3" t="s">
        <v>15</v>
      </c>
      <c r="J97" s="3">
        <v>2</v>
      </c>
      <c r="K97" t="s">
        <v>30</v>
      </c>
      <c r="L97" t="s">
        <v>17</v>
      </c>
      <c r="M97" s="3">
        <v>62</v>
      </c>
      <c r="N97" s="3" t="str" cm="1">
        <f t="array" ref="N97">_xlfn.IFS(M97&gt;59, "Pension Age", M97&gt;44, "Elderly (45+)", M97&gt;29, "Middle Age (30+)", M97&gt;22, "Adult (23+)", M97&gt;15, "Teen/Young Adult (16+)")</f>
        <v>Pension Age</v>
      </c>
      <c r="O97" s="3" t="s">
        <v>18</v>
      </c>
    </row>
    <row r="98" spans="1:15" x14ac:dyDescent="0.3">
      <c r="A98" s="4">
        <v>12507</v>
      </c>
      <c r="B98" s="3" t="s">
        <v>39</v>
      </c>
      <c r="C98" s="3" t="s">
        <v>42</v>
      </c>
      <c r="D98" s="11">
        <v>30000</v>
      </c>
      <c r="E98" s="9" t="str" cm="1">
        <f t="array" ref="E98">_xlfn.IFS(D98&gt;149000, "Very High", D98&gt;99000, "High", D98&gt;59999, "Average", D98&gt;19999, "Low", D98&gt;0, "Poverty")</f>
        <v>Low</v>
      </c>
      <c r="F98" s="3">
        <v>1</v>
      </c>
      <c r="G98" t="s">
        <v>19</v>
      </c>
      <c r="H98" t="s">
        <v>20</v>
      </c>
      <c r="I98" s="3" t="s">
        <v>15</v>
      </c>
      <c r="J98" s="3">
        <v>1</v>
      </c>
      <c r="K98" t="s">
        <v>16</v>
      </c>
      <c r="L98" t="s">
        <v>17</v>
      </c>
      <c r="M98" s="3">
        <v>43</v>
      </c>
      <c r="N98" s="3" t="str" cm="1">
        <f t="array" ref="N98">_xlfn.IFS(M98&gt;59, "Pension Age", M98&gt;44, "Elderly (45+)", M98&gt;29, "Middle Age (30+)", M98&gt;22, "Adult (23+)", M98&gt;15, "Teen/Young Adult (16+)")</f>
        <v>Middle Age (30+)</v>
      </c>
      <c r="O98" s="3" t="s">
        <v>18</v>
      </c>
    </row>
    <row r="99" spans="1:15" x14ac:dyDescent="0.3">
      <c r="A99" s="4">
        <v>23940</v>
      </c>
      <c r="B99" s="3" t="s">
        <v>39</v>
      </c>
      <c r="C99" s="3" t="s">
        <v>42</v>
      </c>
      <c r="D99" s="11">
        <v>40000</v>
      </c>
      <c r="E99" s="9" t="str" cm="1">
        <f t="array" ref="E99">_xlfn.IFS(D99&gt;149000, "Very High", D99&gt;99000, "High", D99&gt;59999, "Average", D99&gt;19999, "Low", D99&gt;0, "Poverty")</f>
        <v>Low</v>
      </c>
      <c r="F99" s="3">
        <v>1</v>
      </c>
      <c r="G99" t="s">
        <v>13</v>
      </c>
      <c r="H99" t="s">
        <v>14</v>
      </c>
      <c r="I99" s="3" t="s">
        <v>15</v>
      </c>
      <c r="J99" s="3">
        <v>1</v>
      </c>
      <c r="K99" t="s">
        <v>16</v>
      </c>
      <c r="L99" t="s">
        <v>17</v>
      </c>
      <c r="M99" s="3">
        <v>44</v>
      </c>
      <c r="N99" s="3" t="str" cm="1">
        <f t="array" ref="N99">_xlfn.IFS(M99&gt;59, "Pension Age", M99&gt;44, "Elderly (45+)", M99&gt;29, "Middle Age (30+)", M99&gt;22, "Adult (23+)", M99&gt;15, "Teen/Young Adult (16+)")</f>
        <v>Middle Age (30+)</v>
      </c>
      <c r="O99" s="3" t="s">
        <v>15</v>
      </c>
    </row>
    <row r="100" spans="1:15" x14ac:dyDescent="0.3">
      <c r="A100" s="4">
        <v>19441</v>
      </c>
      <c r="B100" s="3" t="s">
        <v>39</v>
      </c>
      <c r="C100" s="3" t="s">
        <v>42</v>
      </c>
      <c r="D100" s="11">
        <v>40000</v>
      </c>
      <c r="E100" s="9" t="str" cm="1">
        <f t="array" ref="E100">_xlfn.IFS(D100&gt;149000, "Very High", D100&gt;99000, "High", D100&gt;59999, "Average", D100&gt;19999, "Low", D100&gt;0, "Poverty")</f>
        <v>Low</v>
      </c>
      <c r="F100" s="3">
        <v>0</v>
      </c>
      <c r="G100" t="s">
        <v>31</v>
      </c>
      <c r="H100" t="s">
        <v>20</v>
      </c>
      <c r="I100" s="3" t="s">
        <v>15</v>
      </c>
      <c r="J100" s="3">
        <v>0</v>
      </c>
      <c r="K100" t="s">
        <v>16</v>
      </c>
      <c r="L100" t="s">
        <v>17</v>
      </c>
      <c r="M100" s="3">
        <v>25</v>
      </c>
      <c r="N100" s="3" t="str" cm="1">
        <f t="array" ref="N100">_xlfn.IFS(M100&gt;59, "Pension Age", M100&gt;44, "Elderly (45+)", M100&gt;29, "Middle Age (30+)", M100&gt;22, "Adult (23+)", M100&gt;15, "Teen/Young Adult (16+)")</f>
        <v>Adult (23+)</v>
      </c>
      <c r="O100" s="3" t="s">
        <v>15</v>
      </c>
    </row>
    <row r="101" spans="1:15" x14ac:dyDescent="0.3">
      <c r="A101" s="4">
        <v>26852</v>
      </c>
      <c r="B101" s="3" t="s">
        <v>39</v>
      </c>
      <c r="C101" s="3" t="s">
        <v>41</v>
      </c>
      <c r="D101" s="11">
        <v>20000</v>
      </c>
      <c r="E101" s="9" t="str" cm="1">
        <f t="array" ref="E101">_xlfn.IFS(D101&gt;149000, "Very High", D101&gt;99000, "High", D101&gt;59999, "Average", D101&gt;19999, "Low", D101&gt;0, "Poverty")</f>
        <v>Low</v>
      </c>
      <c r="F101" s="3">
        <v>3</v>
      </c>
      <c r="G101" t="s">
        <v>27</v>
      </c>
      <c r="H101" t="s">
        <v>25</v>
      </c>
      <c r="I101" s="3" t="s">
        <v>15</v>
      </c>
      <c r="J101" s="3">
        <v>2</v>
      </c>
      <c r="K101" t="s">
        <v>16</v>
      </c>
      <c r="L101" t="s">
        <v>17</v>
      </c>
      <c r="M101" s="3">
        <v>43</v>
      </c>
      <c r="N101" s="3" t="str" cm="1">
        <f t="array" ref="N101">_xlfn.IFS(M101&gt;59, "Pension Age", M101&gt;44, "Elderly (45+)", M101&gt;29, "Middle Age (30+)", M101&gt;22, "Adult (23+)", M101&gt;15, "Teen/Young Adult (16+)")</f>
        <v>Middle Age (30+)</v>
      </c>
      <c r="O101" s="3" t="s">
        <v>18</v>
      </c>
    </row>
    <row r="102" spans="1:15" x14ac:dyDescent="0.3">
      <c r="A102" s="4">
        <v>12274</v>
      </c>
      <c r="B102" s="3" t="s">
        <v>40</v>
      </c>
      <c r="C102" s="3" t="s">
        <v>42</v>
      </c>
      <c r="D102" s="11">
        <v>10000</v>
      </c>
      <c r="E102" s="9" t="str" cm="1">
        <f t="array" ref="E102">_xlfn.IFS(D102&gt;149000, "Very High", D102&gt;99000, "High", D102&gt;59999, "Average", D102&gt;19999, "Low", D102&gt;0, "Poverty")</f>
        <v>Poverty</v>
      </c>
      <c r="F102" s="3">
        <v>2</v>
      </c>
      <c r="G102" t="s">
        <v>27</v>
      </c>
      <c r="H102" t="s">
        <v>25</v>
      </c>
      <c r="I102" s="3" t="s">
        <v>15</v>
      </c>
      <c r="J102" s="3">
        <v>0</v>
      </c>
      <c r="K102" t="s">
        <v>16</v>
      </c>
      <c r="L102" t="s">
        <v>17</v>
      </c>
      <c r="M102" s="3">
        <v>35</v>
      </c>
      <c r="N102" s="3" t="str" cm="1">
        <f t="array" ref="N102">_xlfn.IFS(M102&gt;59, "Pension Age", M102&gt;44, "Elderly (45+)", M102&gt;29, "Middle Age (30+)", M102&gt;22, "Adult (23+)", M102&gt;15, "Teen/Young Adult (16+)")</f>
        <v>Middle Age (30+)</v>
      </c>
      <c r="O102" s="3" t="s">
        <v>18</v>
      </c>
    </row>
    <row r="103" spans="1:15" x14ac:dyDescent="0.3">
      <c r="A103" s="4">
        <v>20236</v>
      </c>
      <c r="B103" s="3" t="s">
        <v>40</v>
      </c>
      <c r="C103" s="3" t="s">
        <v>42</v>
      </c>
      <c r="D103" s="11">
        <v>60000</v>
      </c>
      <c r="E103" s="9" t="str" cm="1">
        <f t="array" ref="E103">_xlfn.IFS(D103&gt;149000, "Very High", D103&gt;99000, "High", D103&gt;59999, "Average", D103&gt;19999, "Low", D103&gt;0, "Poverty")</f>
        <v>Average</v>
      </c>
      <c r="F103" s="3">
        <v>3</v>
      </c>
      <c r="G103" t="s">
        <v>13</v>
      </c>
      <c r="H103" t="s">
        <v>21</v>
      </c>
      <c r="I103" s="3" t="s">
        <v>18</v>
      </c>
      <c r="J103" s="3">
        <v>2</v>
      </c>
      <c r="K103" t="s">
        <v>16</v>
      </c>
      <c r="L103" t="s">
        <v>24</v>
      </c>
      <c r="M103" s="3">
        <v>43</v>
      </c>
      <c r="N103" s="3" t="str" cm="1">
        <f t="array" ref="N103">_xlfn.IFS(M103&gt;59, "Pension Age", M103&gt;44, "Elderly (45+)", M103&gt;29, "Middle Age (30+)", M103&gt;22, "Adult (23+)", M103&gt;15, "Teen/Young Adult (16+)")</f>
        <v>Middle Age (30+)</v>
      </c>
      <c r="O103" s="3" t="s">
        <v>15</v>
      </c>
    </row>
    <row r="104" spans="1:15" x14ac:dyDescent="0.3">
      <c r="A104" s="4">
        <v>24149</v>
      </c>
      <c r="B104" s="3" t="s">
        <v>39</v>
      </c>
      <c r="C104" s="3" t="s">
        <v>42</v>
      </c>
      <c r="D104" s="11">
        <v>10000</v>
      </c>
      <c r="E104" s="9" t="str" cm="1">
        <f t="array" ref="E104">_xlfn.IFS(D104&gt;149000, "Very High", D104&gt;99000, "High", D104&gt;59999, "Average", D104&gt;19999, "Low", D104&gt;0, "Poverty")</f>
        <v>Poverty</v>
      </c>
      <c r="F104" s="3">
        <v>2</v>
      </c>
      <c r="G104" t="s">
        <v>19</v>
      </c>
      <c r="H104" t="s">
        <v>25</v>
      </c>
      <c r="I104" s="3" t="s">
        <v>15</v>
      </c>
      <c r="J104" s="3">
        <v>0</v>
      </c>
      <c r="K104" t="s">
        <v>26</v>
      </c>
      <c r="L104" t="s">
        <v>17</v>
      </c>
      <c r="M104" s="3">
        <v>49</v>
      </c>
      <c r="N104" s="3" t="str" cm="1">
        <f t="array" ref="N104">_xlfn.IFS(M104&gt;59, "Pension Age", M104&gt;44, "Elderly (45+)", M104&gt;29, "Middle Age (30+)", M104&gt;22, "Adult (23+)", M104&gt;15, "Teen/Young Adult (16+)")</f>
        <v>Elderly (45+)</v>
      </c>
      <c r="O104" s="3" t="s">
        <v>18</v>
      </c>
    </row>
    <row r="105" spans="1:15" x14ac:dyDescent="0.3">
      <c r="A105" s="4">
        <v>26139</v>
      </c>
      <c r="B105" s="3" t="s">
        <v>40</v>
      </c>
      <c r="C105" s="3" t="s">
        <v>42</v>
      </c>
      <c r="D105" s="11">
        <v>60000</v>
      </c>
      <c r="E105" s="9" t="str" cm="1">
        <f t="array" ref="E105">_xlfn.IFS(D105&gt;149000, "Very High", D105&gt;99000, "High", D105&gt;59999, "Average", D105&gt;19999, "Low", D105&gt;0, "Poverty")</f>
        <v>Average</v>
      </c>
      <c r="F105" s="3">
        <v>1</v>
      </c>
      <c r="G105" t="s">
        <v>19</v>
      </c>
      <c r="H105" t="s">
        <v>14</v>
      </c>
      <c r="I105" s="3" t="s">
        <v>15</v>
      </c>
      <c r="J105" s="3">
        <v>1</v>
      </c>
      <c r="K105" t="s">
        <v>23</v>
      </c>
      <c r="L105" t="s">
        <v>24</v>
      </c>
      <c r="M105" s="3">
        <v>45</v>
      </c>
      <c r="N105" s="3" t="str" cm="1">
        <f t="array" ref="N105">_xlfn.IFS(M105&gt;59, "Pension Age", M105&gt;44, "Elderly (45+)", M105&gt;29, "Middle Age (30+)", M105&gt;22, "Adult (23+)", M105&gt;15, "Teen/Young Adult (16+)")</f>
        <v>Elderly (45+)</v>
      </c>
      <c r="O105" s="3" t="s">
        <v>18</v>
      </c>
    </row>
    <row r="106" spans="1:15" x14ac:dyDescent="0.3">
      <c r="A106" s="4">
        <v>18491</v>
      </c>
      <c r="B106" s="3" t="s">
        <v>40</v>
      </c>
      <c r="C106" s="3" t="s">
        <v>41</v>
      </c>
      <c r="D106" s="11">
        <v>70000</v>
      </c>
      <c r="E106" s="9" t="str" cm="1">
        <f t="array" ref="E106">_xlfn.IFS(D106&gt;149000, "Very High", D106&gt;99000, "High", D106&gt;59999, "Average", D106&gt;19999, "Low", D106&gt;0, "Poverty")</f>
        <v>Average</v>
      </c>
      <c r="F106" s="3">
        <v>2</v>
      </c>
      <c r="G106" t="s">
        <v>27</v>
      </c>
      <c r="H106" t="s">
        <v>21</v>
      </c>
      <c r="I106" s="3" t="s">
        <v>15</v>
      </c>
      <c r="J106" s="3">
        <v>2</v>
      </c>
      <c r="K106" t="s">
        <v>23</v>
      </c>
      <c r="L106" t="s">
        <v>24</v>
      </c>
      <c r="M106" s="3">
        <v>49</v>
      </c>
      <c r="N106" s="3" t="str" cm="1">
        <f t="array" ref="N106">_xlfn.IFS(M106&gt;59, "Pension Age", M106&gt;44, "Elderly (45+)", M106&gt;29, "Middle Age (30+)", M106&gt;22, "Adult (23+)", M106&gt;15, "Teen/Young Adult (16+)")</f>
        <v>Elderly (45+)</v>
      </c>
      <c r="O106" s="3" t="s">
        <v>15</v>
      </c>
    </row>
    <row r="107" spans="1:15" x14ac:dyDescent="0.3">
      <c r="A107" s="4">
        <v>22707</v>
      </c>
      <c r="B107" s="3" t="s">
        <v>40</v>
      </c>
      <c r="C107" s="3" t="s">
        <v>41</v>
      </c>
      <c r="D107" s="11">
        <v>30000</v>
      </c>
      <c r="E107" s="9" t="str" cm="1">
        <f t="array" ref="E107">_xlfn.IFS(D107&gt;149000, "Very High", D107&gt;99000, "High", D107&gt;59999, "Average", D107&gt;19999, "Low", D107&gt;0, "Poverty")</f>
        <v>Low</v>
      </c>
      <c r="F107" s="3">
        <v>0</v>
      </c>
      <c r="G107" t="s">
        <v>19</v>
      </c>
      <c r="H107" t="s">
        <v>20</v>
      </c>
      <c r="I107" s="3" t="s">
        <v>18</v>
      </c>
      <c r="J107" s="3">
        <v>1</v>
      </c>
      <c r="K107" t="s">
        <v>22</v>
      </c>
      <c r="L107" t="s">
        <v>17</v>
      </c>
      <c r="M107" s="3">
        <v>30</v>
      </c>
      <c r="N107" s="3" t="str" cm="1">
        <f t="array" ref="N107">_xlfn.IFS(M107&gt;59, "Pension Age", M107&gt;44, "Elderly (45+)", M107&gt;29, "Middle Age (30+)", M107&gt;22, "Adult (23+)", M107&gt;15, "Teen/Young Adult (16+)")</f>
        <v>Middle Age (30+)</v>
      </c>
      <c r="O107" s="3" t="s">
        <v>18</v>
      </c>
    </row>
    <row r="108" spans="1:15" x14ac:dyDescent="0.3">
      <c r="A108" s="4">
        <v>20430</v>
      </c>
      <c r="B108" s="3" t="s">
        <v>39</v>
      </c>
      <c r="C108" s="3" t="s">
        <v>42</v>
      </c>
      <c r="D108" s="11">
        <v>70000</v>
      </c>
      <c r="E108" s="9" t="str" cm="1">
        <f t="array" ref="E108">_xlfn.IFS(D108&gt;149000, "Very High", D108&gt;99000, "High", D108&gt;59999, "Average", D108&gt;19999, "Low", D108&gt;0, "Poverty")</f>
        <v>Average</v>
      </c>
      <c r="F108" s="3">
        <v>2</v>
      </c>
      <c r="G108" t="s">
        <v>19</v>
      </c>
      <c r="H108" t="s">
        <v>14</v>
      </c>
      <c r="I108" s="3" t="s">
        <v>15</v>
      </c>
      <c r="J108" s="3">
        <v>2</v>
      </c>
      <c r="K108" t="s">
        <v>23</v>
      </c>
      <c r="L108" t="s">
        <v>24</v>
      </c>
      <c r="M108" s="3">
        <v>52</v>
      </c>
      <c r="N108" s="3" t="str" cm="1">
        <f t="array" ref="N108">_xlfn.IFS(M108&gt;59, "Pension Age", M108&gt;44, "Elderly (45+)", M108&gt;29, "Middle Age (30+)", M108&gt;22, "Adult (23+)", M108&gt;15, "Teen/Young Adult (16+)")</f>
        <v>Elderly (45+)</v>
      </c>
      <c r="O108" s="3" t="s">
        <v>15</v>
      </c>
    </row>
    <row r="109" spans="1:15" x14ac:dyDescent="0.3">
      <c r="A109" s="4">
        <v>27494</v>
      </c>
      <c r="B109" s="3" t="s">
        <v>40</v>
      </c>
      <c r="C109" s="3" t="s">
        <v>41</v>
      </c>
      <c r="D109" s="11">
        <v>40000</v>
      </c>
      <c r="E109" s="9" t="str" cm="1">
        <f t="array" ref="E109">_xlfn.IFS(D109&gt;149000, "Very High", D109&gt;99000, "High", D109&gt;59999, "Average", D109&gt;19999, "Low", D109&gt;0, "Poverty")</f>
        <v>Low</v>
      </c>
      <c r="F109" s="3">
        <v>2</v>
      </c>
      <c r="G109" t="s">
        <v>19</v>
      </c>
      <c r="H109" t="s">
        <v>14</v>
      </c>
      <c r="I109" s="3" t="s">
        <v>18</v>
      </c>
      <c r="J109" s="3">
        <v>2</v>
      </c>
      <c r="K109" t="s">
        <v>26</v>
      </c>
      <c r="L109" t="s">
        <v>24</v>
      </c>
      <c r="M109" s="3">
        <v>53</v>
      </c>
      <c r="N109" s="3" t="str" cm="1">
        <f t="array" ref="N109">_xlfn.IFS(M109&gt;59, "Pension Age", M109&gt;44, "Elderly (45+)", M109&gt;29, "Middle Age (30+)", M109&gt;22, "Adult (23+)", M109&gt;15, "Teen/Young Adult (16+)")</f>
        <v>Elderly (45+)</v>
      </c>
      <c r="O109" s="3" t="s">
        <v>15</v>
      </c>
    </row>
    <row r="110" spans="1:15" x14ac:dyDescent="0.3">
      <c r="A110" s="4">
        <v>26829</v>
      </c>
      <c r="B110" s="3" t="s">
        <v>39</v>
      </c>
      <c r="C110" s="3" t="s">
        <v>41</v>
      </c>
      <c r="D110" s="11">
        <v>40000</v>
      </c>
      <c r="E110" s="9" t="str" cm="1">
        <f t="array" ref="E110">_xlfn.IFS(D110&gt;149000, "Very High", D110&gt;99000, "High", D110&gt;59999, "Average", D110&gt;19999, "Low", D110&gt;0, "Poverty")</f>
        <v>Low</v>
      </c>
      <c r="F110" s="3">
        <v>0</v>
      </c>
      <c r="G110" t="s">
        <v>13</v>
      </c>
      <c r="H110" t="s">
        <v>20</v>
      </c>
      <c r="I110" s="3" t="s">
        <v>15</v>
      </c>
      <c r="J110" s="3">
        <v>0</v>
      </c>
      <c r="K110" t="s">
        <v>16</v>
      </c>
      <c r="L110" t="s">
        <v>17</v>
      </c>
      <c r="M110" s="3">
        <v>38</v>
      </c>
      <c r="N110" s="3" t="str" cm="1">
        <f t="array" ref="N110">_xlfn.IFS(M110&gt;59, "Pension Age", M110&gt;44, "Elderly (45+)", M110&gt;29, "Middle Age (30+)", M110&gt;22, "Adult (23+)", M110&gt;15, "Teen/Young Adult (16+)")</f>
        <v>Middle Age (30+)</v>
      </c>
      <c r="O110" s="3" t="s">
        <v>15</v>
      </c>
    </row>
    <row r="111" spans="1:15" x14ac:dyDescent="0.3">
      <c r="A111" s="4">
        <v>28395</v>
      </c>
      <c r="B111" s="3" t="s">
        <v>40</v>
      </c>
      <c r="C111" s="3" t="s">
        <v>42</v>
      </c>
      <c r="D111" s="11">
        <v>40000</v>
      </c>
      <c r="E111" s="9" t="str" cm="1">
        <f t="array" ref="E111">_xlfn.IFS(D111&gt;149000, "Very High", D111&gt;99000, "High", D111&gt;59999, "Average", D111&gt;19999, "Low", D111&gt;0, "Poverty")</f>
        <v>Low</v>
      </c>
      <c r="F111" s="3">
        <v>0</v>
      </c>
      <c r="G111" t="s">
        <v>13</v>
      </c>
      <c r="H111" t="s">
        <v>21</v>
      </c>
      <c r="I111" s="3" t="s">
        <v>18</v>
      </c>
      <c r="J111" s="3">
        <v>0</v>
      </c>
      <c r="K111" t="s">
        <v>16</v>
      </c>
      <c r="L111" t="s">
        <v>17</v>
      </c>
      <c r="M111" s="3">
        <v>39</v>
      </c>
      <c r="N111" s="3" t="str" cm="1">
        <f t="array" ref="N111">_xlfn.IFS(M111&gt;59, "Pension Age", M111&gt;44, "Elderly (45+)", M111&gt;29, "Middle Age (30+)", M111&gt;22, "Adult (23+)", M111&gt;15, "Teen/Young Adult (16+)")</f>
        <v>Middle Age (30+)</v>
      </c>
      <c r="O111" s="3" t="s">
        <v>15</v>
      </c>
    </row>
    <row r="112" spans="1:15" x14ac:dyDescent="0.3">
      <c r="A112" s="4">
        <v>21006</v>
      </c>
      <c r="B112" s="3" t="s">
        <v>40</v>
      </c>
      <c r="C112" s="3" t="s">
        <v>41</v>
      </c>
      <c r="D112" s="11">
        <v>30000</v>
      </c>
      <c r="E112" s="9" t="str" cm="1">
        <f t="array" ref="E112">_xlfn.IFS(D112&gt;149000, "Very High", D112&gt;99000, "High", D112&gt;59999, "Average", D112&gt;19999, "Low", D112&gt;0, "Poverty")</f>
        <v>Low</v>
      </c>
      <c r="F112" s="3">
        <v>1</v>
      </c>
      <c r="G112" t="s">
        <v>19</v>
      </c>
      <c r="H112" t="s">
        <v>25</v>
      </c>
      <c r="I112" s="3" t="s">
        <v>18</v>
      </c>
      <c r="J112" s="3">
        <v>0</v>
      </c>
      <c r="K112" t="s">
        <v>16</v>
      </c>
      <c r="L112" t="s">
        <v>17</v>
      </c>
      <c r="M112" s="3">
        <v>46</v>
      </c>
      <c r="N112" s="3" t="str" cm="1">
        <f t="array" ref="N112">_xlfn.IFS(M112&gt;59, "Pension Age", M112&gt;44, "Elderly (45+)", M112&gt;29, "Middle Age (30+)", M112&gt;22, "Adult (23+)", M112&gt;15, "Teen/Young Adult (16+)")</f>
        <v>Elderly (45+)</v>
      </c>
      <c r="O112" s="3" t="s">
        <v>15</v>
      </c>
    </row>
    <row r="113" spans="1:15" x14ac:dyDescent="0.3">
      <c r="A113" s="4">
        <v>14682</v>
      </c>
      <c r="B113" s="3" t="s">
        <v>40</v>
      </c>
      <c r="C113" s="3" t="s">
        <v>41</v>
      </c>
      <c r="D113" s="11">
        <v>70000</v>
      </c>
      <c r="E113" s="9" t="str" cm="1">
        <f t="array" ref="E113">_xlfn.IFS(D113&gt;149000, "Very High", D113&gt;99000, "High", D113&gt;59999, "Average", D113&gt;19999, "Low", D113&gt;0, "Poverty")</f>
        <v>Average</v>
      </c>
      <c r="F113" s="3">
        <v>0</v>
      </c>
      <c r="G113" t="s">
        <v>13</v>
      </c>
      <c r="H113" t="s">
        <v>21</v>
      </c>
      <c r="I113" s="3" t="s">
        <v>18</v>
      </c>
      <c r="J113" s="3">
        <v>1</v>
      </c>
      <c r="K113" t="s">
        <v>23</v>
      </c>
      <c r="L113" t="s">
        <v>24</v>
      </c>
      <c r="M113" s="3">
        <v>38</v>
      </c>
      <c r="N113" s="3" t="str" cm="1">
        <f t="array" ref="N113">_xlfn.IFS(M113&gt;59, "Pension Age", M113&gt;44, "Elderly (45+)", M113&gt;29, "Middle Age (30+)", M113&gt;22, "Adult (23+)", M113&gt;15, "Teen/Young Adult (16+)")</f>
        <v>Middle Age (30+)</v>
      </c>
      <c r="O113" s="3" t="s">
        <v>18</v>
      </c>
    </row>
    <row r="114" spans="1:15" x14ac:dyDescent="0.3">
      <c r="A114" s="4">
        <v>17650</v>
      </c>
      <c r="B114" s="3" t="s">
        <v>40</v>
      </c>
      <c r="C114" s="3" t="s">
        <v>41</v>
      </c>
      <c r="D114" s="11">
        <v>40000</v>
      </c>
      <c r="E114" s="9" t="str" cm="1">
        <f t="array" ref="E114">_xlfn.IFS(D114&gt;149000, "Very High", D114&gt;99000, "High", D114&gt;59999, "Average", D114&gt;19999, "Low", D114&gt;0, "Poverty")</f>
        <v>Low</v>
      </c>
      <c r="F114" s="3">
        <v>2</v>
      </c>
      <c r="G114" t="s">
        <v>19</v>
      </c>
      <c r="H114" t="s">
        <v>20</v>
      </c>
      <c r="I114" s="3" t="s">
        <v>15</v>
      </c>
      <c r="J114" s="3">
        <v>2</v>
      </c>
      <c r="K114" t="s">
        <v>26</v>
      </c>
      <c r="L114" t="s">
        <v>17</v>
      </c>
      <c r="M114" s="3">
        <v>35</v>
      </c>
      <c r="N114" s="3" t="str" cm="1">
        <f t="array" ref="N114">_xlfn.IFS(M114&gt;59, "Pension Age", M114&gt;44, "Elderly (45+)", M114&gt;29, "Middle Age (30+)", M114&gt;22, "Adult (23+)", M114&gt;15, "Teen/Young Adult (16+)")</f>
        <v>Middle Age (30+)</v>
      </c>
      <c r="O114" s="3" t="s">
        <v>18</v>
      </c>
    </row>
    <row r="115" spans="1:15" x14ac:dyDescent="0.3">
      <c r="A115" s="4">
        <v>29191</v>
      </c>
      <c r="B115" s="3" t="s">
        <v>40</v>
      </c>
      <c r="C115" s="3" t="s">
        <v>41</v>
      </c>
      <c r="D115" s="11">
        <v>130000</v>
      </c>
      <c r="E115" s="9" t="str" cm="1">
        <f t="array" ref="E115">_xlfn.IFS(D115&gt;149000, "Very High", D115&gt;99000, "High", D115&gt;59999, "Average", D115&gt;19999, "Low", D115&gt;0, "Poverty")</f>
        <v>High</v>
      </c>
      <c r="F115" s="3">
        <v>1</v>
      </c>
      <c r="G115" t="s">
        <v>31</v>
      </c>
      <c r="H115" t="s">
        <v>28</v>
      </c>
      <c r="I115" s="3" t="s">
        <v>18</v>
      </c>
      <c r="J115" s="3">
        <v>1</v>
      </c>
      <c r="K115" t="s">
        <v>16</v>
      </c>
      <c r="L115" t="s">
        <v>24</v>
      </c>
      <c r="M115" s="3">
        <v>36</v>
      </c>
      <c r="N115" s="3" t="str" cm="1">
        <f t="array" ref="N115">_xlfn.IFS(M115&gt;59, "Pension Age", M115&gt;44, "Elderly (45+)", M115&gt;29, "Middle Age (30+)", M115&gt;22, "Adult (23+)", M115&gt;15, "Teen/Young Adult (16+)")</f>
        <v>Middle Age (30+)</v>
      </c>
      <c r="O115" s="3" t="s">
        <v>15</v>
      </c>
    </row>
    <row r="116" spans="1:15" x14ac:dyDescent="0.3">
      <c r="A116" s="4">
        <v>15030</v>
      </c>
      <c r="B116" s="3" t="s">
        <v>39</v>
      </c>
      <c r="C116" s="3" t="s">
        <v>42</v>
      </c>
      <c r="D116" s="11">
        <v>20000</v>
      </c>
      <c r="E116" s="9" t="str" cm="1">
        <f t="array" ref="E116">_xlfn.IFS(D116&gt;149000, "Very High", D116&gt;99000, "High", D116&gt;59999, "Average", D116&gt;19999, "Low", D116&gt;0, "Poverty")</f>
        <v>Low</v>
      </c>
      <c r="F116" s="3">
        <v>0</v>
      </c>
      <c r="G116" t="s">
        <v>13</v>
      </c>
      <c r="H116" t="s">
        <v>20</v>
      </c>
      <c r="I116" s="3" t="s">
        <v>15</v>
      </c>
      <c r="J116" s="3">
        <v>0</v>
      </c>
      <c r="K116" t="s">
        <v>16</v>
      </c>
      <c r="L116" t="s">
        <v>24</v>
      </c>
      <c r="M116" s="3">
        <v>26</v>
      </c>
      <c r="N116" s="3" t="str" cm="1">
        <f t="array" ref="N116">_xlfn.IFS(M116&gt;59, "Pension Age", M116&gt;44, "Elderly (45+)", M116&gt;29, "Middle Age (30+)", M116&gt;22, "Adult (23+)", M116&gt;15, "Teen/Young Adult (16+)")</f>
        <v>Adult (23+)</v>
      </c>
      <c r="O116" s="3" t="s">
        <v>15</v>
      </c>
    </row>
    <row r="117" spans="1:15" x14ac:dyDescent="0.3">
      <c r="A117" s="4">
        <v>24140</v>
      </c>
      <c r="B117" s="3" t="s">
        <v>40</v>
      </c>
      <c r="C117" s="3" t="s">
        <v>42</v>
      </c>
      <c r="D117" s="11">
        <v>10000</v>
      </c>
      <c r="E117" s="9" t="str" cm="1">
        <f t="array" ref="E117">_xlfn.IFS(D117&gt;149000, "Very High", D117&gt;99000, "High", D117&gt;59999, "Average", D117&gt;19999, "Low", D117&gt;0, "Poverty")</f>
        <v>Poverty</v>
      </c>
      <c r="F117" s="3">
        <v>0</v>
      </c>
      <c r="G117" t="s">
        <v>31</v>
      </c>
      <c r="H117" t="s">
        <v>25</v>
      </c>
      <c r="I117" s="3" t="s">
        <v>18</v>
      </c>
      <c r="J117" s="3">
        <v>0</v>
      </c>
      <c r="K117" t="s">
        <v>16</v>
      </c>
      <c r="L117" t="s">
        <v>17</v>
      </c>
      <c r="M117" s="3">
        <v>30</v>
      </c>
      <c r="N117" s="3" t="str" cm="1">
        <f t="array" ref="N117">_xlfn.IFS(M117&gt;59, "Pension Age", M117&gt;44, "Elderly (45+)", M117&gt;29, "Middle Age (30+)", M117&gt;22, "Adult (23+)", M117&gt;15, "Teen/Young Adult (16+)")</f>
        <v>Middle Age (30+)</v>
      </c>
      <c r="O117" s="3" t="s">
        <v>15</v>
      </c>
    </row>
    <row r="118" spans="1:15" x14ac:dyDescent="0.3">
      <c r="A118" s="4">
        <v>22496</v>
      </c>
      <c r="B118" s="3" t="s">
        <v>39</v>
      </c>
      <c r="C118" s="3" t="s">
        <v>41</v>
      </c>
      <c r="D118" s="11">
        <v>30000</v>
      </c>
      <c r="E118" s="9" t="str" cm="1">
        <f t="array" ref="E118">_xlfn.IFS(D118&gt;149000, "Very High", D118&gt;99000, "High", D118&gt;59999, "Average", D118&gt;19999, "Low", D118&gt;0, "Poverty")</f>
        <v>Low</v>
      </c>
      <c r="F118" s="3">
        <v>1</v>
      </c>
      <c r="G118" t="s">
        <v>13</v>
      </c>
      <c r="H118" t="s">
        <v>14</v>
      </c>
      <c r="I118" s="3" t="s">
        <v>15</v>
      </c>
      <c r="J118" s="3">
        <v>2</v>
      </c>
      <c r="K118" t="s">
        <v>16</v>
      </c>
      <c r="L118" t="s">
        <v>17</v>
      </c>
      <c r="M118" s="3">
        <v>42</v>
      </c>
      <c r="N118" s="3" t="str" cm="1">
        <f t="array" ref="N118">_xlfn.IFS(M118&gt;59, "Pension Age", M118&gt;44, "Elderly (45+)", M118&gt;29, "Middle Age (30+)", M118&gt;22, "Adult (23+)", M118&gt;15, "Teen/Young Adult (16+)")</f>
        <v>Middle Age (30+)</v>
      </c>
      <c r="O118" s="3" t="s">
        <v>18</v>
      </c>
    </row>
    <row r="119" spans="1:15" x14ac:dyDescent="0.3">
      <c r="A119" s="4">
        <v>24065</v>
      </c>
      <c r="B119" s="3" t="s">
        <v>40</v>
      </c>
      <c r="C119" s="3" t="s">
        <v>41</v>
      </c>
      <c r="D119" s="11">
        <v>20000</v>
      </c>
      <c r="E119" s="9" t="str" cm="1">
        <f t="array" ref="E119">_xlfn.IFS(D119&gt;149000, "Very High", D119&gt;99000, "High", D119&gt;59999, "Average", D119&gt;19999, "Low", D119&gt;0, "Poverty")</f>
        <v>Low</v>
      </c>
      <c r="F119" s="3">
        <v>0</v>
      </c>
      <c r="G119" t="s">
        <v>27</v>
      </c>
      <c r="H119" t="s">
        <v>25</v>
      </c>
      <c r="I119" s="3" t="s">
        <v>15</v>
      </c>
      <c r="J119" s="3">
        <v>0</v>
      </c>
      <c r="K119" t="s">
        <v>16</v>
      </c>
      <c r="L119" t="s">
        <v>17</v>
      </c>
      <c r="M119" s="3">
        <v>40</v>
      </c>
      <c r="N119" s="3" t="str" cm="1">
        <f t="array" ref="N119">_xlfn.IFS(M119&gt;59, "Pension Age", M119&gt;44, "Elderly (45+)", M119&gt;29, "Middle Age (30+)", M119&gt;22, "Adult (23+)", M119&gt;15, "Teen/Young Adult (16+)")</f>
        <v>Middle Age (30+)</v>
      </c>
      <c r="O119" s="3" t="s">
        <v>15</v>
      </c>
    </row>
    <row r="120" spans="1:15" x14ac:dyDescent="0.3">
      <c r="A120" s="4">
        <v>19914</v>
      </c>
      <c r="B120" s="3" t="s">
        <v>39</v>
      </c>
      <c r="C120" s="3" t="s">
        <v>42</v>
      </c>
      <c r="D120" s="11">
        <v>80000</v>
      </c>
      <c r="E120" s="9" t="str" cm="1">
        <f t="array" ref="E120">_xlfn.IFS(D120&gt;149000, "Very High", D120&gt;99000, "High", D120&gt;59999, "Average", D120&gt;19999, "Low", D120&gt;0, "Poverty")</f>
        <v>Average</v>
      </c>
      <c r="F120" s="3">
        <v>5</v>
      </c>
      <c r="G120" t="s">
        <v>13</v>
      </c>
      <c r="H120" t="s">
        <v>28</v>
      </c>
      <c r="I120" s="3" t="s">
        <v>15</v>
      </c>
      <c r="J120" s="3">
        <v>2</v>
      </c>
      <c r="K120" t="s">
        <v>22</v>
      </c>
      <c r="L120" t="s">
        <v>17</v>
      </c>
      <c r="M120" s="3">
        <v>62</v>
      </c>
      <c r="N120" s="3" t="str" cm="1">
        <f t="array" ref="N120">_xlfn.IFS(M120&gt;59, "Pension Age", M120&gt;44, "Elderly (45+)", M120&gt;29, "Middle Age (30+)", M120&gt;22, "Adult (23+)", M120&gt;15, "Teen/Young Adult (16+)")</f>
        <v>Pension Age</v>
      </c>
      <c r="O120" s="3" t="s">
        <v>18</v>
      </c>
    </row>
    <row r="121" spans="1:15" x14ac:dyDescent="0.3">
      <c r="A121" s="4">
        <v>12871</v>
      </c>
      <c r="B121" s="3" t="s">
        <v>40</v>
      </c>
      <c r="C121" s="3" t="s">
        <v>41</v>
      </c>
      <c r="D121" s="11">
        <v>30000</v>
      </c>
      <c r="E121" s="9" t="str" cm="1">
        <f t="array" ref="E121">_xlfn.IFS(D121&gt;149000, "Very High", D121&gt;99000, "High", D121&gt;59999, "Average", D121&gt;19999, "Low", D121&gt;0, "Poverty")</f>
        <v>Low</v>
      </c>
      <c r="F121" s="3">
        <v>0</v>
      </c>
      <c r="G121" t="s">
        <v>19</v>
      </c>
      <c r="H121" t="s">
        <v>20</v>
      </c>
      <c r="I121" s="3" t="s">
        <v>18</v>
      </c>
      <c r="J121" s="3">
        <v>1</v>
      </c>
      <c r="K121" t="s">
        <v>22</v>
      </c>
      <c r="L121" t="s">
        <v>17</v>
      </c>
      <c r="M121" s="3">
        <v>29</v>
      </c>
      <c r="N121" s="3" t="str" cm="1">
        <f t="array" ref="N121">_xlfn.IFS(M121&gt;59, "Pension Age", M121&gt;44, "Elderly (45+)", M121&gt;29, "Middle Age (30+)", M121&gt;22, "Adult (23+)", M121&gt;15, "Teen/Young Adult (16+)")</f>
        <v>Adult (23+)</v>
      </c>
      <c r="O121" s="3" t="s">
        <v>18</v>
      </c>
    </row>
    <row r="122" spans="1:15" x14ac:dyDescent="0.3">
      <c r="A122" s="4">
        <v>22988</v>
      </c>
      <c r="B122" s="3" t="s">
        <v>39</v>
      </c>
      <c r="C122" s="3" t="s">
        <v>41</v>
      </c>
      <c r="D122" s="11">
        <v>40000</v>
      </c>
      <c r="E122" s="9" t="str" cm="1">
        <f t="array" ref="E122">_xlfn.IFS(D122&gt;149000, "Very High", D122&gt;99000, "High", D122&gt;59999, "Average", D122&gt;19999, "Low", D122&gt;0, "Poverty")</f>
        <v>Low</v>
      </c>
      <c r="F122" s="3">
        <v>2</v>
      </c>
      <c r="G122" t="s">
        <v>13</v>
      </c>
      <c r="H122" t="s">
        <v>28</v>
      </c>
      <c r="I122" s="3" t="s">
        <v>15</v>
      </c>
      <c r="J122" s="3">
        <v>2</v>
      </c>
      <c r="K122" t="s">
        <v>23</v>
      </c>
      <c r="L122" t="s">
        <v>24</v>
      </c>
      <c r="M122" s="3">
        <v>66</v>
      </c>
      <c r="N122" s="3" t="str" cm="1">
        <f t="array" ref="N122">_xlfn.IFS(M122&gt;59, "Pension Age", M122&gt;44, "Elderly (45+)", M122&gt;29, "Middle Age (30+)", M122&gt;22, "Adult (23+)", M122&gt;15, "Teen/Young Adult (16+)")</f>
        <v>Pension Age</v>
      </c>
      <c r="O122" s="3" t="s">
        <v>15</v>
      </c>
    </row>
    <row r="123" spans="1:15" x14ac:dyDescent="0.3">
      <c r="A123" s="4">
        <v>15922</v>
      </c>
      <c r="B123" s="3" t="s">
        <v>39</v>
      </c>
      <c r="C123" s="3" t="s">
        <v>42</v>
      </c>
      <c r="D123" s="11">
        <v>150000</v>
      </c>
      <c r="E123" s="9" t="str" cm="1">
        <f t="array" ref="E123">_xlfn.IFS(D123&gt;149000, "Very High", D123&gt;99000, "High", D123&gt;59999, "Average", D123&gt;19999, "Low", D123&gt;0, "Poverty")</f>
        <v>Very High</v>
      </c>
      <c r="F123" s="3">
        <v>2</v>
      </c>
      <c r="G123" t="s">
        <v>27</v>
      </c>
      <c r="H123" t="s">
        <v>21</v>
      </c>
      <c r="I123" s="3" t="s">
        <v>15</v>
      </c>
      <c r="J123" s="3">
        <v>4</v>
      </c>
      <c r="K123" t="s">
        <v>16</v>
      </c>
      <c r="L123" t="s">
        <v>17</v>
      </c>
      <c r="M123" s="3">
        <v>48</v>
      </c>
      <c r="N123" s="3" t="str" cm="1">
        <f t="array" ref="N123">_xlfn.IFS(M123&gt;59, "Pension Age", M123&gt;44, "Elderly (45+)", M123&gt;29, "Middle Age (30+)", M123&gt;22, "Adult (23+)", M123&gt;15, "Teen/Young Adult (16+)")</f>
        <v>Elderly (45+)</v>
      </c>
      <c r="O123" s="3" t="s">
        <v>18</v>
      </c>
    </row>
    <row r="124" spans="1:15" x14ac:dyDescent="0.3">
      <c r="A124" s="4">
        <v>12344</v>
      </c>
      <c r="B124" s="3" t="s">
        <v>40</v>
      </c>
      <c r="C124" s="3" t="s">
        <v>41</v>
      </c>
      <c r="D124" s="11">
        <v>80000</v>
      </c>
      <c r="E124" s="9" t="str" cm="1">
        <f t="array" ref="E124">_xlfn.IFS(D124&gt;149000, "Very High", D124&gt;99000, "High", D124&gt;59999, "Average", D124&gt;19999, "Low", D124&gt;0, "Poverty")</f>
        <v>Average</v>
      </c>
      <c r="F124" s="3">
        <v>0</v>
      </c>
      <c r="G124" t="s">
        <v>13</v>
      </c>
      <c r="H124" t="s">
        <v>21</v>
      </c>
      <c r="I124" s="3" t="s">
        <v>18</v>
      </c>
      <c r="J124" s="3">
        <v>3</v>
      </c>
      <c r="K124" t="s">
        <v>30</v>
      </c>
      <c r="L124" t="s">
        <v>24</v>
      </c>
      <c r="M124" s="3">
        <v>31</v>
      </c>
      <c r="N124" s="3" t="str" cm="1">
        <f t="array" ref="N124">_xlfn.IFS(M124&gt;59, "Pension Age", M124&gt;44, "Elderly (45+)", M124&gt;29, "Middle Age (30+)", M124&gt;22, "Adult (23+)", M124&gt;15, "Teen/Young Adult (16+)")</f>
        <v>Middle Age (30+)</v>
      </c>
      <c r="O124" s="3" t="s">
        <v>18</v>
      </c>
    </row>
    <row r="125" spans="1:15" x14ac:dyDescent="0.3">
      <c r="A125" s="4">
        <v>23627</v>
      </c>
      <c r="B125" s="3" t="s">
        <v>40</v>
      </c>
      <c r="C125" s="3" t="s">
        <v>41</v>
      </c>
      <c r="D125" s="11">
        <v>100000</v>
      </c>
      <c r="E125" s="9" t="str" cm="1">
        <f t="array" ref="E125">_xlfn.IFS(D125&gt;149000, "Very High", D125&gt;99000, "High", D125&gt;59999, "Average", D125&gt;19999, "Low", D125&gt;0, "Poverty")</f>
        <v>High</v>
      </c>
      <c r="F125" s="3">
        <v>3</v>
      </c>
      <c r="G125" t="s">
        <v>19</v>
      </c>
      <c r="H125" t="s">
        <v>28</v>
      </c>
      <c r="I125" s="3" t="s">
        <v>18</v>
      </c>
      <c r="J125" s="3">
        <v>4</v>
      </c>
      <c r="K125" t="s">
        <v>23</v>
      </c>
      <c r="L125" t="s">
        <v>17</v>
      </c>
      <c r="M125" s="3">
        <v>56</v>
      </c>
      <c r="N125" s="3" t="str" cm="1">
        <f t="array" ref="N125">_xlfn.IFS(M125&gt;59, "Pension Age", M125&gt;44, "Elderly (45+)", M125&gt;29, "Middle Age (30+)", M125&gt;22, "Adult (23+)", M125&gt;15, "Teen/Young Adult (16+)")</f>
        <v>Elderly (45+)</v>
      </c>
      <c r="O125" s="3" t="s">
        <v>18</v>
      </c>
    </row>
    <row r="126" spans="1:15" x14ac:dyDescent="0.3">
      <c r="A126" s="4">
        <v>27775</v>
      </c>
      <c r="B126" s="3" t="s">
        <v>40</v>
      </c>
      <c r="C126" s="3" t="s">
        <v>41</v>
      </c>
      <c r="D126" s="11">
        <v>40000</v>
      </c>
      <c r="E126" s="9" t="str" cm="1">
        <f t="array" ref="E126">_xlfn.IFS(D126&gt;149000, "Very High", D126&gt;99000, "High", D126&gt;59999, "Average", D126&gt;19999, "Low", D126&gt;0, "Poverty")</f>
        <v>Low</v>
      </c>
      <c r="F126" s="3">
        <v>0</v>
      </c>
      <c r="G126" t="s">
        <v>13</v>
      </c>
      <c r="H126" t="s">
        <v>20</v>
      </c>
      <c r="I126" s="3" t="s">
        <v>18</v>
      </c>
      <c r="J126" s="3">
        <v>0</v>
      </c>
      <c r="K126" t="s">
        <v>16</v>
      </c>
      <c r="L126" t="s">
        <v>17</v>
      </c>
      <c r="M126" s="3">
        <v>38</v>
      </c>
      <c r="N126" s="3" t="str" cm="1">
        <f t="array" ref="N126">_xlfn.IFS(M126&gt;59, "Pension Age", M126&gt;44, "Elderly (45+)", M126&gt;29, "Middle Age (30+)", M126&gt;22, "Adult (23+)", M126&gt;15, "Teen/Young Adult (16+)")</f>
        <v>Middle Age (30+)</v>
      </c>
      <c r="O126" s="3" t="s">
        <v>15</v>
      </c>
    </row>
    <row r="127" spans="1:15" x14ac:dyDescent="0.3">
      <c r="A127" s="4">
        <v>29301</v>
      </c>
      <c r="B127" s="3" t="s">
        <v>39</v>
      </c>
      <c r="C127" s="3" t="s">
        <v>42</v>
      </c>
      <c r="D127" s="11">
        <v>80000</v>
      </c>
      <c r="E127" s="9" t="str" cm="1">
        <f t="array" ref="E127">_xlfn.IFS(D127&gt;149000, "Very High", D127&gt;99000, "High", D127&gt;59999, "Average", D127&gt;19999, "Low", D127&gt;0, "Poverty")</f>
        <v>Average</v>
      </c>
      <c r="F127" s="3">
        <v>5</v>
      </c>
      <c r="G127" t="s">
        <v>13</v>
      </c>
      <c r="H127" t="s">
        <v>21</v>
      </c>
      <c r="I127" s="3" t="s">
        <v>15</v>
      </c>
      <c r="J127" s="3">
        <v>4</v>
      </c>
      <c r="K127" t="s">
        <v>26</v>
      </c>
      <c r="L127" t="s">
        <v>24</v>
      </c>
      <c r="M127" s="3">
        <v>40</v>
      </c>
      <c r="N127" s="3" t="str" cm="1">
        <f t="array" ref="N127">_xlfn.IFS(M127&gt;59, "Pension Age", M127&gt;44, "Elderly (45+)", M127&gt;29, "Middle Age (30+)", M127&gt;22, "Adult (23+)", M127&gt;15, "Teen/Young Adult (16+)")</f>
        <v>Middle Age (30+)</v>
      </c>
      <c r="O127" s="3" t="s">
        <v>18</v>
      </c>
    </row>
    <row r="128" spans="1:15" x14ac:dyDescent="0.3">
      <c r="A128" s="4">
        <v>12716</v>
      </c>
      <c r="B128" s="3" t="s">
        <v>40</v>
      </c>
      <c r="C128" s="3" t="s">
        <v>42</v>
      </c>
      <c r="D128" s="11">
        <v>30000</v>
      </c>
      <c r="E128" s="9" t="str" cm="1">
        <f t="array" ref="E128">_xlfn.IFS(D128&gt;149000, "Very High", D128&gt;99000, "High", D128&gt;59999, "Average", D128&gt;19999, "Low", D128&gt;0, "Poverty")</f>
        <v>Low</v>
      </c>
      <c r="F128" s="3">
        <v>0</v>
      </c>
      <c r="G128" t="s">
        <v>19</v>
      </c>
      <c r="H128" t="s">
        <v>20</v>
      </c>
      <c r="I128" s="3" t="s">
        <v>15</v>
      </c>
      <c r="J128" s="3">
        <v>1</v>
      </c>
      <c r="K128" t="s">
        <v>22</v>
      </c>
      <c r="L128" t="s">
        <v>17</v>
      </c>
      <c r="M128" s="3">
        <v>32</v>
      </c>
      <c r="N128" s="3" t="str" cm="1">
        <f t="array" ref="N128">_xlfn.IFS(M128&gt;59, "Pension Age", M128&gt;44, "Elderly (45+)", M128&gt;29, "Middle Age (30+)", M128&gt;22, "Adult (23+)", M128&gt;15, "Teen/Young Adult (16+)")</f>
        <v>Middle Age (30+)</v>
      </c>
      <c r="O128" s="3" t="s">
        <v>18</v>
      </c>
    </row>
    <row r="129" spans="1:15" x14ac:dyDescent="0.3">
      <c r="A129" s="4">
        <v>12472</v>
      </c>
      <c r="B129" s="3" t="s">
        <v>39</v>
      </c>
      <c r="C129" s="3" t="s">
        <v>42</v>
      </c>
      <c r="D129" s="11">
        <v>30000</v>
      </c>
      <c r="E129" s="9" t="str" cm="1">
        <f t="array" ref="E129">_xlfn.IFS(D129&gt;149000, "Very High", D129&gt;99000, "High", D129&gt;59999, "Average", D129&gt;19999, "Low", D129&gt;0, "Poverty")</f>
        <v>Low</v>
      </c>
      <c r="F129" s="3">
        <v>1</v>
      </c>
      <c r="G129" t="s">
        <v>13</v>
      </c>
      <c r="H129" t="s">
        <v>20</v>
      </c>
      <c r="I129" s="3" t="s">
        <v>15</v>
      </c>
      <c r="J129" s="3">
        <v>1</v>
      </c>
      <c r="K129" t="s">
        <v>22</v>
      </c>
      <c r="L129" t="s">
        <v>17</v>
      </c>
      <c r="M129" s="3">
        <v>39</v>
      </c>
      <c r="N129" s="3" t="str" cm="1">
        <f t="array" ref="N129">_xlfn.IFS(M129&gt;59, "Pension Age", M129&gt;44, "Elderly (45+)", M129&gt;29, "Middle Age (30+)", M129&gt;22, "Adult (23+)", M129&gt;15, "Teen/Young Adult (16+)")</f>
        <v>Middle Age (30+)</v>
      </c>
      <c r="O129" s="3" t="s">
        <v>18</v>
      </c>
    </row>
    <row r="130" spans="1:15" x14ac:dyDescent="0.3">
      <c r="A130" s="4">
        <v>20970</v>
      </c>
      <c r="B130" s="3" t="s">
        <v>40</v>
      </c>
      <c r="C130" s="3" t="s">
        <v>42</v>
      </c>
      <c r="D130" s="11">
        <v>10000</v>
      </c>
      <c r="E130" s="9" t="str" cm="1">
        <f t="array" ref="E130">_xlfn.IFS(D130&gt;149000, "Very High", D130&gt;99000, "High", D130&gt;59999, "Average", D130&gt;19999, "Low", D130&gt;0, "Poverty")</f>
        <v>Poverty</v>
      </c>
      <c r="F130" s="3">
        <v>2</v>
      </c>
      <c r="G130" t="s">
        <v>19</v>
      </c>
      <c r="H130" t="s">
        <v>25</v>
      </c>
      <c r="I130" s="3" t="s">
        <v>15</v>
      </c>
      <c r="J130" s="3">
        <v>1</v>
      </c>
      <c r="K130" t="s">
        <v>16</v>
      </c>
      <c r="L130" t="s">
        <v>17</v>
      </c>
      <c r="M130" s="3">
        <v>52</v>
      </c>
      <c r="N130" s="3" t="str" cm="1">
        <f t="array" ref="N130">_xlfn.IFS(M130&gt;59, "Pension Age", M130&gt;44, "Elderly (45+)", M130&gt;29, "Middle Age (30+)", M130&gt;22, "Adult (23+)", M130&gt;15, "Teen/Young Adult (16+)")</f>
        <v>Elderly (45+)</v>
      </c>
      <c r="O130" s="3" t="s">
        <v>15</v>
      </c>
    </row>
    <row r="131" spans="1:15" x14ac:dyDescent="0.3">
      <c r="A131" s="4">
        <v>26818</v>
      </c>
      <c r="B131" s="3" t="s">
        <v>40</v>
      </c>
      <c r="C131" s="3" t="s">
        <v>42</v>
      </c>
      <c r="D131" s="11">
        <v>10000</v>
      </c>
      <c r="E131" s="9" t="str" cm="1">
        <f t="array" ref="E131">_xlfn.IFS(D131&gt;149000, "Very High", D131&gt;99000, "High", D131&gt;59999, "Average", D131&gt;19999, "Low", D131&gt;0, "Poverty")</f>
        <v>Poverty</v>
      </c>
      <c r="F131" s="3">
        <v>3</v>
      </c>
      <c r="G131" t="s">
        <v>27</v>
      </c>
      <c r="H131" t="s">
        <v>25</v>
      </c>
      <c r="I131" s="3" t="s">
        <v>15</v>
      </c>
      <c r="J131" s="3">
        <v>1</v>
      </c>
      <c r="K131" t="s">
        <v>16</v>
      </c>
      <c r="L131" t="s">
        <v>17</v>
      </c>
      <c r="M131" s="3">
        <v>39</v>
      </c>
      <c r="N131" s="3" t="str" cm="1">
        <f t="array" ref="N131">_xlfn.IFS(M131&gt;59, "Pension Age", M131&gt;44, "Elderly (45+)", M131&gt;29, "Middle Age (30+)", M131&gt;22, "Adult (23+)", M131&gt;15, "Teen/Young Adult (16+)")</f>
        <v>Middle Age (30+)</v>
      </c>
      <c r="O131" s="3" t="s">
        <v>15</v>
      </c>
    </row>
    <row r="132" spans="1:15" x14ac:dyDescent="0.3">
      <c r="A132" s="4">
        <v>12993</v>
      </c>
      <c r="B132" s="3" t="s">
        <v>39</v>
      </c>
      <c r="C132" s="3" t="s">
        <v>42</v>
      </c>
      <c r="D132" s="11">
        <v>60000</v>
      </c>
      <c r="E132" s="9" t="str" cm="1">
        <f t="array" ref="E132">_xlfn.IFS(D132&gt;149000, "Very High", D132&gt;99000, "High", D132&gt;59999, "Average", D132&gt;19999, "Low", D132&gt;0, "Poverty")</f>
        <v>Average</v>
      </c>
      <c r="F132" s="3">
        <v>2</v>
      </c>
      <c r="G132" t="s">
        <v>13</v>
      </c>
      <c r="H132" t="s">
        <v>21</v>
      </c>
      <c r="I132" s="3" t="s">
        <v>15</v>
      </c>
      <c r="J132" s="3">
        <v>1</v>
      </c>
      <c r="K132" t="s">
        <v>22</v>
      </c>
      <c r="L132" t="s">
        <v>24</v>
      </c>
      <c r="M132" s="3">
        <v>37</v>
      </c>
      <c r="N132" s="3" t="str" cm="1">
        <f t="array" ref="N132">_xlfn.IFS(M132&gt;59, "Pension Age", M132&gt;44, "Elderly (45+)", M132&gt;29, "Middle Age (30+)", M132&gt;22, "Adult (23+)", M132&gt;15, "Teen/Young Adult (16+)")</f>
        <v>Middle Age (30+)</v>
      </c>
      <c r="O132" s="3" t="s">
        <v>18</v>
      </c>
    </row>
    <row r="133" spans="1:15" x14ac:dyDescent="0.3">
      <c r="A133" s="4">
        <v>14192</v>
      </c>
      <c r="B133" s="3" t="s">
        <v>39</v>
      </c>
      <c r="C133" s="3" t="s">
        <v>42</v>
      </c>
      <c r="D133" s="11">
        <v>90000</v>
      </c>
      <c r="E133" s="9" t="str" cm="1">
        <f t="array" ref="E133">_xlfn.IFS(D133&gt;149000, "Very High", D133&gt;99000, "High", D133&gt;59999, "Average", D133&gt;19999, "Low", D133&gt;0, "Poverty")</f>
        <v>Average</v>
      </c>
      <c r="F133" s="3">
        <v>4</v>
      </c>
      <c r="G133" t="s">
        <v>27</v>
      </c>
      <c r="H133" t="s">
        <v>28</v>
      </c>
      <c r="I133" s="3" t="s">
        <v>15</v>
      </c>
      <c r="J133" s="3">
        <v>3</v>
      </c>
      <c r="K133" t="s">
        <v>23</v>
      </c>
      <c r="L133" t="s">
        <v>17</v>
      </c>
      <c r="M133" s="3">
        <v>56</v>
      </c>
      <c r="N133" s="3" t="str" cm="1">
        <f t="array" ref="N133">_xlfn.IFS(M133&gt;59, "Pension Age", M133&gt;44, "Elderly (45+)", M133&gt;29, "Middle Age (30+)", M133&gt;22, "Adult (23+)", M133&gt;15, "Teen/Young Adult (16+)")</f>
        <v>Elderly (45+)</v>
      </c>
      <c r="O133" s="3" t="s">
        <v>15</v>
      </c>
    </row>
    <row r="134" spans="1:15" x14ac:dyDescent="0.3">
      <c r="A134" s="4">
        <v>19477</v>
      </c>
      <c r="B134" s="3" t="s">
        <v>39</v>
      </c>
      <c r="C134" s="3" t="s">
        <v>42</v>
      </c>
      <c r="D134" s="11">
        <v>40000</v>
      </c>
      <c r="E134" s="9" t="str" cm="1">
        <f t="array" ref="E134">_xlfn.IFS(D134&gt;149000, "Very High", D134&gt;99000, "High", D134&gt;59999, "Average", D134&gt;19999, "Low", D134&gt;0, "Poverty")</f>
        <v>Low</v>
      </c>
      <c r="F134" s="3">
        <v>0</v>
      </c>
      <c r="G134" t="s">
        <v>13</v>
      </c>
      <c r="H134" t="s">
        <v>21</v>
      </c>
      <c r="I134" s="3" t="s">
        <v>15</v>
      </c>
      <c r="J134" s="3">
        <v>0</v>
      </c>
      <c r="K134" t="s">
        <v>16</v>
      </c>
      <c r="L134" t="s">
        <v>17</v>
      </c>
      <c r="M134" s="3">
        <v>40</v>
      </c>
      <c r="N134" s="3" t="str" cm="1">
        <f t="array" ref="N134">_xlfn.IFS(M134&gt;59, "Pension Age", M134&gt;44, "Elderly (45+)", M134&gt;29, "Middle Age (30+)", M134&gt;22, "Adult (23+)", M134&gt;15, "Teen/Young Adult (16+)")</f>
        <v>Middle Age (30+)</v>
      </c>
      <c r="O134" s="3" t="s">
        <v>15</v>
      </c>
    </row>
    <row r="135" spans="1:15" x14ac:dyDescent="0.3">
      <c r="A135" s="4">
        <v>26796</v>
      </c>
      <c r="B135" s="3" t="s">
        <v>40</v>
      </c>
      <c r="C135" s="3" t="s">
        <v>42</v>
      </c>
      <c r="D135" s="11">
        <v>40000</v>
      </c>
      <c r="E135" s="9" t="str" cm="1">
        <f t="array" ref="E135">_xlfn.IFS(D135&gt;149000, "Very High", D135&gt;99000, "High", D135&gt;59999, "Average", D135&gt;19999, "Low", D135&gt;0, "Poverty")</f>
        <v>Low</v>
      </c>
      <c r="F135" s="3">
        <v>2</v>
      </c>
      <c r="G135" t="s">
        <v>13</v>
      </c>
      <c r="H135" t="s">
        <v>28</v>
      </c>
      <c r="I135" s="3" t="s">
        <v>15</v>
      </c>
      <c r="J135" s="3">
        <v>2</v>
      </c>
      <c r="K135" t="s">
        <v>23</v>
      </c>
      <c r="L135" t="s">
        <v>24</v>
      </c>
      <c r="M135" s="3">
        <v>65</v>
      </c>
      <c r="N135" s="3" t="str" cm="1">
        <f t="array" ref="N135">_xlfn.IFS(M135&gt;59, "Pension Age", M135&gt;44, "Elderly (45+)", M135&gt;29, "Middle Age (30+)", M135&gt;22, "Adult (23+)", M135&gt;15, "Teen/Young Adult (16+)")</f>
        <v>Pension Age</v>
      </c>
      <c r="O135" s="3" t="s">
        <v>15</v>
      </c>
    </row>
    <row r="136" spans="1:15" x14ac:dyDescent="0.3">
      <c r="A136" s="4">
        <v>21094</v>
      </c>
      <c r="B136" s="3" t="s">
        <v>40</v>
      </c>
      <c r="C136" s="3" t="s">
        <v>41</v>
      </c>
      <c r="D136" s="11">
        <v>30000</v>
      </c>
      <c r="E136" s="9" t="str" cm="1">
        <f t="array" ref="E136">_xlfn.IFS(D136&gt;149000, "Very High", D136&gt;99000, "High", D136&gt;59999, "Average", D136&gt;19999, "Low", D136&gt;0, "Poverty")</f>
        <v>Low</v>
      </c>
      <c r="F136" s="3">
        <v>2</v>
      </c>
      <c r="G136" t="s">
        <v>19</v>
      </c>
      <c r="H136" t="s">
        <v>20</v>
      </c>
      <c r="I136" s="3" t="s">
        <v>15</v>
      </c>
      <c r="J136" s="3">
        <v>2</v>
      </c>
      <c r="K136" t="s">
        <v>16</v>
      </c>
      <c r="L136" t="s">
        <v>17</v>
      </c>
      <c r="M136" s="3">
        <v>42</v>
      </c>
      <c r="N136" s="3" t="str" cm="1">
        <f t="array" ref="N136">_xlfn.IFS(M136&gt;59, "Pension Age", M136&gt;44, "Elderly (45+)", M136&gt;29, "Middle Age (30+)", M136&gt;22, "Adult (23+)", M136&gt;15, "Teen/Young Adult (16+)")</f>
        <v>Middle Age (30+)</v>
      </c>
      <c r="O136" s="3" t="s">
        <v>18</v>
      </c>
    </row>
    <row r="137" spans="1:15" x14ac:dyDescent="0.3">
      <c r="A137" s="4">
        <v>12234</v>
      </c>
      <c r="B137" s="3" t="s">
        <v>39</v>
      </c>
      <c r="C137" s="3" t="s">
        <v>42</v>
      </c>
      <c r="D137" s="11">
        <v>10000</v>
      </c>
      <c r="E137" s="9" t="str" cm="1">
        <f t="array" ref="E137">_xlfn.IFS(D137&gt;149000, "Very High", D137&gt;99000, "High", D137&gt;59999, "Average", D137&gt;19999, "Low", D137&gt;0, "Poverty")</f>
        <v>Poverty</v>
      </c>
      <c r="F137" s="3">
        <v>2</v>
      </c>
      <c r="G137" t="s">
        <v>19</v>
      </c>
      <c r="H137" t="s">
        <v>25</v>
      </c>
      <c r="I137" s="3" t="s">
        <v>15</v>
      </c>
      <c r="J137" s="3">
        <v>1</v>
      </c>
      <c r="K137" t="s">
        <v>22</v>
      </c>
      <c r="L137" t="s">
        <v>17</v>
      </c>
      <c r="M137" s="3">
        <v>52</v>
      </c>
      <c r="N137" s="3" t="str" cm="1">
        <f t="array" ref="N137">_xlfn.IFS(M137&gt;59, "Pension Age", M137&gt;44, "Elderly (45+)", M137&gt;29, "Middle Age (30+)", M137&gt;22, "Adult (23+)", M137&gt;15, "Teen/Young Adult (16+)")</f>
        <v>Elderly (45+)</v>
      </c>
      <c r="O137" s="3" t="s">
        <v>18</v>
      </c>
    </row>
    <row r="138" spans="1:15" x14ac:dyDescent="0.3">
      <c r="A138" s="4">
        <v>28683</v>
      </c>
      <c r="B138" s="3" t="s">
        <v>40</v>
      </c>
      <c r="C138" s="3" t="s">
        <v>41</v>
      </c>
      <c r="D138" s="11">
        <v>10000</v>
      </c>
      <c r="E138" s="9" t="str" cm="1">
        <f t="array" ref="E138">_xlfn.IFS(D138&gt;149000, "Very High", D138&gt;99000, "High", D138&gt;59999, "Average", D138&gt;19999, "Low", D138&gt;0, "Poverty")</f>
        <v>Poverty</v>
      </c>
      <c r="F138" s="3">
        <v>1</v>
      </c>
      <c r="G138" t="s">
        <v>27</v>
      </c>
      <c r="H138" t="s">
        <v>25</v>
      </c>
      <c r="I138" s="3" t="s">
        <v>18</v>
      </c>
      <c r="J138" s="3">
        <v>1</v>
      </c>
      <c r="K138" t="s">
        <v>23</v>
      </c>
      <c r="L138" t="s">
        <v>17</v>
      </c>
      <c r="M138" s="3">
        <v>35</v>
      </c>
      <c r="N138" s="3" t="str" cm="1">
        <f t="array" ref="N138">_xlfn.IFS(M138&gt;59, "Pension Age", M138&gt;44, "Elderly (45+)", M138&gt;29, "Middle Age (30+)", M138&gt;22, "Adult (23+)", M138&gt;15, "Teen/Young Adult (16+)")</f>
        <v>Middle Age (30+)</v>
      </c>
      <c r="O138" s="3" t="s">
        <v>15</v>
      </c>
    </row>
    <row r="139" spans="1:15" x14ac:dyDescent="0.3">
      <c r="A139" s="4">
        <v>17994</v>
      </c>
      <c r="B139" s="3" t="s">
        <v>40</v>
      </c>
      <c r="C139" s="3" t="s">
        <v>42</v>
      </c>
      <c r="D139" s="11">
        <v>20000</v>
      </c>
      <c r="E139" s="9" t="str" cm="1">
        <f t="array" ref="E139">_xlfn.IFS(D139&gt;149000, "Very High", D139&gt;99000, "High", D139&gt;59999, "Average", D139&gt;19999, "Low", D139&gt;0, "Poverty")</f>
        <v>Low</v>
      </c>
      <c r="F139" s="3">
        <v>2</v>
      </c>
      <c r="G139" t="s">
        <v>27</v>
      </c>
      <c r="H139" t="s">
        <v>25</v>
      </c>
      <c r="I139" s="3" t="s">
        <v>15</v>
      </c>
      <c r="J139" s="3">
        <v>2</v>
      </c>
      <c r="K139" t="s">
        <v>16</v>
      </c>
      <c r="L139" t="s">
        <v>17</v>
      </c>
      <c r="M139" s="3">
        <v>42</v>
      </c>
      <c r="N139" s="3" t="str" cm="1">
        <f t="array" ref="N139">_xlfn.IFS(M139&gt;59, "Pension Age", M139&gt;44, "Elderly (45+)", M139&gt;29, "Middle Age (30+)", M139&gt;22, "Adult (23+)", M139&gt;15, "Teen/Young Adult (16+)")</f>
        <v>Middle Age (30+)</v>
      </c>
      <c r="O139" s="3" t="s">
        <v>18</v>
      </c>
    </row>
    <row r="140" spans="1:15" x14ac:dyDescent="0.3">
      <c r="A140" s="4">
        <v>24273</v>
      </c>
      <c r="B140" s="3" t="s">
        <v>39</v>
      </c>
      <c r="C140" s="3" t="s">
        <v>41</v>
      </c>
      <c r="D140" s="11">
        <v>20000</v>
      </c>
      <c r="E140" s="9" t="str" cm="1">
        <f t="array" ref="E140">_xlfn.IFS(D140&gt;149000, "Very High", D140&gt;99000, "High", D140&gt;59999, "Average", D140&gt;19999, "Low", D140&gt;0, "Poverty")</f>
        <v>Low</v>
      </c>
      <c r="F140" s="3">
        <v>2</v>
      </c>
      <c r="G140" t="s">
        <v>29</v>
      </c>
      <c r="H140" t="s">
        <v>20</v>
      </c>
      <c r="I140" s="3" t="s">
        <v>15</v>
      </c>
      <c r="J140" s="3">
        <v>2</v>
      </c>
      <c r="K140" t="s">
        <v>23</v>
      </c>
      <c r="L140" t="s">
        <v>24</v>
      </c>
      <c r="M140" s="3">
        <v>55</v>
      </c>
      <c r="N140" s="3" t="str" cm="1">
        <f t="array" ref="N140">_xlfn.IFS(M140&gt;59, "Pension Age", M140&gt;44, "Elderly (45+)", M140&gt;29, "Middle Age (30+)", M140&gt;22, "Adult (23+)", M140&gt;15, "Teen/Young Adult (16+)")</f>
        <v>Elderly (45+)</v>
      </c>
      <c r="O140" s="3" t="s">
        <v>15</v>
      </c>
    </row>
    <row r="141" spans="1:15" x14ac:dyDescent="0.3">
      <c r="A141" s="4">
        <v>26547</v>
      </c>
      <c r="B141" s="3" t="s">
        <v>40</v>
      </c>
      <c r="C141" s="3" t="s">
        <v>41</v>
      </c>
      <c r="D141" s="11">
        <v>30000</v>
      </c>
      <c r="E141" s="9" t="str" cm="1">
        <f t="array" ref="E141">_xlfn.IFS(D141&gt;149000, "Very High", D141&gt;99000, "High", D141&gt;59999, "Average", D141&gt;19999, "Low", D141&gt;0, "Poverty")</f>
        <v>Low</v>
      </c>
      <c r="F141" s="3">
        <v>2</v>
      </c>
      <c r="G141" t="s">
        <v>19</v>
      </c>
      <c r="H141" t="s">
        <v>20</v>
      </c>
      <c r="I141" s="3" t="s">
        <v>18</v>
      </c>
      <c r="J141" s="3">
        <v>2</v>
      </c>
      <c r="K141" t="s">
        <v>23</v>
      </c>
      <c r="L141" t="s">
        <v>24</v>
      </c>
      <c r="M141" s="3">
        <v>60</v>
      </c>
      <c r="N141" s="3" t="str" cm="1">
        <f t="array" ref="N141">_xlfn.IFS(M141&gt;59, "Pension Age", M141&gt;44, "Elderly (45+)", M141&gt;29, "Middle Age (30+)", M141&gt;22, "Adult (23+)", M141&gt;15, "Teen/Young Adult (16+)")</f>
        <v>Pension Age</v>
      </c>
      <c r="O141" s="3" t="s">
        <v>15</v>
      </c>
    </row>
    <row r="142" spans="1:15" x14ac:dyDescent="0.3">
      <c r="A142" s="4">
        <v>22500</v>
      </c>
      <c r="B142" s="3" t="s">
        <v>40</v>
      </c>
      <c r="C142" s="3" t="s">
        <v>42</v>
      </c>
      <c r="D142" s="11">
        <v>40000</v>
      </c>
      <c r="E142" s="9" t="str" cm="1">
        <f t="array" ref="E142">_xlfn.IFS(D142&gt;149000, "Very High", D142&gt;99000, "High", D142&gt;59999, "Average", D142&gt;19999, "Low", D142&gt;0, "Poverty")</f>
        <v>Low</v>
      </c>
      <c r="F142" s="3">
        <v>0</v>
      </c>
      <c r="G142" t="s">
        <v>13</v>
      </c>
      <c r="H142" t="s">
        <v>21</v>
      </c>
      <c r="I142" s="3" t="s">
        <v>18</v>
      </c>
      <c r="J142" s="3">
        <v>0</v>
      </c>
      <c r="K142" t="s">
        <v>16</v>
      </c>
      <c r="L142" t="s">
        <v>17</v>
      </c>
      <c r="M142" s="3">
        <v>40</v>
      </c>
      <c r="N142" s="3" t="str" cm="1">
        <f t="array" ref="N142">_xlfn.IFS(M142&gt;59, "Pension Age", M142&gt;44, "Elderly (45+)", M142&gt;29, "Middle Age (30+)", M142&gt;22, "Adult (23+)", M142&gt;15, "Teen/Young Adult (16+)")</f>
        <v>Middle Age (30+)</v>
      </c>
      <c r="O142" s="3" t="s">
        <v>15</v>
      </c>
    </row>
    <row r="143" spans="1:15" x14ac:dyDescent="0.3">
      <c r="A143" s="4">
        <v>23993</v>
      </c>
      <c r="B143" s="3" t="s">
        <v>40</v>
      </c>
      <c r="C143" s="3" t="s">
        <v>41</v>
      </c>
      <c r="D143" s="11">
        <v>10000</v>
      </c>
      <c r="E143" s="9" t="str" cm="1">
        <f t="array" ref="E143">_xlfn.IFS(D143&gt;149000, "Very High", D143&gt;99000, "High", D143&gt;59999, "Average", D143&gt;19999, "Low", D143&gt;0, "Poverty")</f>
        <v>Poverty</v>
      </c>
      <c r="F143" s="3">
        <v>0</v>
      </c>
      <c r="G143" t="s">
        <v>19</v>
      </c>
      <c r="H143" t="s">
        <v>25</v>
      </c>
      <c r="I143" s="3" t="s">
        <v>18</v>
      </c>
      <c r="J143" s="3">
        <v>1</v>
      </c>
      <c r="K143" t="s">
        <v>16</v>
      </c>
      <c r="L143" t="s">
        <v>24</v>
      </c>
      <c r="M143" s="3">
        <v>26</v>
      </c>
      <c r="N143" s="3" t="str" cm="1">
        <f t="array" ref="N143">_xlfn.IFS(M143&gt;59, "Pension Age", M143&gt;44, "Elderly (45+)", M143&gt;29, "Middle Age (30+)", M143&gt;22, "Adult (23+)", M143&gt;15, "Teen/Young Adult (16+)")</f>
        <v>Adult (23+)</v>
      </c>
      <c r="O143" s="3" t="s">
        <v>15</v>
      </c>
    </row>
    <row r="144" spans="1:15" x14ac:dyDescent="0.3">
      <c r="A144" s="4">
        <v>14832</v>
      </c>
      <c r="B144" s="3" t="s">
        <v>39</v>
      </c>
      <c r="C144" s="3" t="s">
        <v>42</v>
      </c>
      <c r="D144" s="11">
        <v>40000</v>
      </c>
      <c r="E144" s="9" t="str" cm="1">
        <f t="array" ref="E144">_xlfn.IFS(D144&gt;149000, "Very High", D144&gt;99000, "High", D144&gt;59999, "Average", D144&gt;19999, "Low", D144&gt;0, "Poverty")</f>
        <v>Low</v>
      </c>
      <c r="F144" s="3">
        <v>1</v>
      </c>
      <c r="G144" t="s">
        <v>13</v>
      </c>
      <c r="H144" t="s">
        <v>14</v>
      </c>
      <c r="I144" s="3" t="s">
        <v>15</v>
      </c>
      <c r="J144" s="3">
        <v>0</v>
      </c>
      <c r="K144" t="s">
        <v>16</v>
      </c>
      <c r="L144" t="s">
        <v>17</v>
      </c>
      <c r="M144" s="3">
        <v>42</v>
      </c>
      <c r="N144" s="3" t="str" cm="1">
        <f t="array" ref="N144">_xlfn.IFS(M144&gt;59, "Pension Age", M144&gt;44, "Elderly (45+)", M144&gt;29, "Middle Age (30+)", M144&gt;22, "Adult (23+)", M144&gt;15, "Teen/Young Adult (16+)")</f>
        <v>Middle Age (30+)</v>
      </c>
      <c r="O144" s="3" t="s">
        <v>15</v>
      </c>
    </row>
    <row r="145" spans="1:15" x14ac:dyDescent="0.3">
      <c r="A145" s="4">
        <v>16614</v>
      </c>
      <c r="B145" s="3" t="s">
        <v>39</v>
      </c>
      <c r="C145" s="3" t="s">
        <v>41</v>
      </c>
      <c r="D145" s="11">
        <v>80000</v>
      </c>
      <c r="E145" s="9" t="str" cm="1">
        <f t="array" ref="E145">_xlfn.IFS(D145&gt;149000, "Very High", D145&gt;99000, "High", D145&gt;59999, "Average", D145&gt;19999, "Low", D145&gt;0, "Poverty")</f>
        <v>Average</v>
      </c>
      <c r="F145" s="3">
        <v>0</v>
      </c>
      <c r="G145" t="s">
        <v>13</v>
      </c>
      <c r="H145" t="s">
        <v>21</v>
      </c>
      <c r="I145" s="3" t="s">
        <v>15</v>
      </c>
      <c r="J145" s="3">
        <v>3</v>
      </c>
      <c r="K145" t="s">
        <v>30</v>
      </c>
      <c r="L145" t="s">
        <v>24</v>
      </c>
      <c r="M145" s="3">
        <v>32</v>
      </c>
      <c r="N145" s="3" t="str" cm="1">
        <f t="array" ref="N145">_xlfn.IFS(M145&gt;59, "Pension Age", M145&gt;44, "Elderly (45+)", M145&gt;29, "Middle Age (30+)", M145&gt;22, "Adult (23+)", M145&gt;15, "Teen/Young Adult (16+)")</f>
        <v>Middle Age (30+)</v>
      </c>
      <c r="O145" s="3" t="s">
        <v>18</v>
      </c>
    </row>
    <row r="146" spans="1:15" x14ac:dyDescent="0.3">
      <c r="A146" s="4">
        <v>20877</v>
      </c>
      <c r="B146" s="3" t="s">
        <v>40</v>
      </c>
      <c r="C146" s="3" t="s">
        <v>42</v>
      </c>
      <c r="D146" s="11">
        <v>30000</v>
      </c>
      <c r="E146" s="9" t="str" cm="1">
        <f t="array" ref="E146">_xlfn.IFS(D146&gt;149000, "Very High", D146&gt;99000, "High", D146&gt;59999, "Average", D146&gt;19999, "Low", D146&gt;0, "Poverty")</f>
        <v>Low</v>
      </c>
      <c r="F146" s="3">
        <v>1</v>
      </c>
      <c r="G146" t="s">
        <v>13</v>
      </c>
      <c r="H146" t="s">
        <v>20</v>
      </c>
      <c r="I146" s="3" t="s">
        <v>15</v>
      </c>
      <c r="J146" s="3">
        <v>0</v>
      </c>
      <c r="K146" t="s">
        <v>26</v>
      </c>
      <c r="L146" t="s">
        <v>17</v>
      </c>
      <c r="M146" s="3">
        <v>37</v>
      </c>
      <c r="N146" s="3" t="str" cm="1">
        <f t="array" ref="N146">_xlfn.IFS(M146&gt;59, "Pension Age", M146&gt;44, "Elderly (45+)", M146&gt;29, "Middle Age (30+)", M146&gt;22, "Adult (23+)", M146&gt;15, "Teen/Young Adult (16+)")</f>
        <v>Middle Age (30+)</v>
      </c>
      <c r="O146" s="3" t="s">
        <v>15</v>
      </c>
    </row>
    <row r="147" spans="1:15" x14ac:dyDescent="0.3">
      <c r="A147" s="4">
        <v>20729</v>
      </c>
      <c r="B147" s="3" t="s">
        <v>39</v>
      </c>
      <c r="C147" s="3" t="s">
        <v>41</v>
      </c>
      <c r="D147" s="11">
        <v>40000</v>
      </c>
      <c r="E147" s="9" t="str" cm="1">
        <f t="array" ref="E147">_xlfn.IFS(D147&gt;149000, "Very High", D147&gt;99000, "High", D147&gt;59999, "Average", D147&gt;19999, "Low", D147&gt;0, "Poverty")</f>
        <v>Low</v>
      </c>
      <c r="F147" s="3">
        <v>2</v>
      </c>
      <c r="G147" t="s">
        <v>19</v>
      </c>
      <c r="H147" t="s">
        <v>20</v>
      </c>
      <c r="I147" s="3" t="s">
        <v>18</v>
      </c>
      <c r="J147" s="3">
        <v>1</v>
      </c>
      <c r="K147" t="s">
        <v>16</v>
      </c>
      <c r="L147" t="s">
        <v>17</v>
      </c>
      <c r="M147" s="3">
        <v>34</v>
      </c>
      <c r="N147" s="3" t="str" cm="1">
        <f t="array" ref="N147">_xlfn.IFS(M147&gt;59, "Pension Age", M147&gt;44, "Elderly (45+)", M147&gt;29, "Middle Age (30+)", M147&gt;22, "Adult (23+)", M147&gt;15, "Teen/Young Adult (16+)")</f>
        <v>Middle Age (30+)</v>
      </c>
      <c r="O147" s="3" t="s">
        <v>18</v>
      </c>
    </row>
    <row r="148" spans="1:15" x14ac:dyDescent="0.3">
      <c r="A148" s="4">
        <v>22464</v>
      </c>
      <c r="B148" s="3" t="s">
        <v>39</v>
      </c>
      <c r="C148" s="3" t="s">
        <v>42</v>
      </c>
      <c r="D148" s="11">
        <v>40000</v>
      </c>
      <c r="E148" s="9" t="str" cm="1">
        <f t="array" ref="E148">_xlfn.IFS(D148&gt;149000, "Very High", D148&gt;99000, "High", D148&gt;59999, "Average", D148&gt;19999, "Low", D148&gt;0, "Poverty")</f>
        <v>Low</v>
      </c>
      <c r="F148" s="3">
        <v>0</v>
      </c>
      <c r="G148" t="s">
        <v>31</v>
      </c>
      <c r="H148" t="s">
        <v>20</v>
      </c>
      <c r="I148" s="3" t="s">
        <v>15</v>
      </c>
      <c r="J148" s="3">
        <v>0</v>
      </c>
      <c r="K148" t="s">
        <v>16</v>
      </c>
      <c r="L148" t="s">
        <v>17</v>
      </c>
      <c r="M148" s="3">
        <v>37</v>
      </c>
      <c r="N148" s="3" t="str" cm="1">
        <f t="array" ref="N148">_xlfn.IFS(M148&gt;59, "Pension Age", M148&gt;44, "Elderly (45+)", M148&gt;29, "Middle Age (30+)", M148&gt;22, "Adult (23+)", M148&gt;15, "Teen/Young Adult (16+)")</f>
        <v>Middle Age (30+)</v>
      </c>
      <c r="O148" s="3" t="s">
        <v>15</v>
      </c>
    </row>
    <row r="149" spans="1:15" x14ac:dyDescent="0.3">
      <c r="A149" s="4">
        <v>19475</v>
      </c>
      <c r="B149" s="3" t="s">
        <v>39</v>
      </c>
      <c r="C149" s="3" t="s">
        <v>41</v>
      </c>
      <c r="D149" s="11">
        <v>40000</v>
      </c>
      <c r="E149" s="9" t="str" cm="1">
        <f t="array" ref="E149">_xlfn.IFS(D149&gt;149000, "Very High", D149&gt;99000, "High", D149&gt;59999, "Average", D149&gt;19999, "Low", D149&gt;0, "Poverty")</f>
        <v>Low</v>
      </c>
      <c r="F149" s="3">
        <v>0</v>
      </c>
      <c r="G149" t="s">
        <v>13</v>
      </c>
      <c r="H149" t="s">
        <v>21</v>
      </c>
      <c r="I149" s="3" t="s">
        <v>18</v>
      </c>
      <c r="J149" s="3">
        <v>0</v>
      </c>
      <c r="K149" t="s">
        <v>16</v>
      </c>
      <c r="L149" t="s">
        <v>17</v>
      </c>
      <c r="M149" s="3">
        <v>40</v>
      </c>
      <c r="N149" s="3" t="str" cm="1">
        <f t="array" ref="N149">_xlfn.IFS(M149&gt;59, "Pension Age", M149&gt;44, "Elderly (45+)", M149&gt;29, "Middle Age (30+)", M149&gt;22, "Adult (23+)", M149&gt;15, "Teen/Young Adult (16+)")</f>
        <v>Middle Age (30+)</v>
      </c>
      <c r="O149" s="3" t="s">
        <v>15</v>
      </c>
    </row>
    <row r="150" spans="1:15" x14ac:dyDescent="0.3">
      <c r="A150" s="4">
        <v>19675</v>
      </c>
      <c r="B150" s="3" t="s">
        <v>39</v>
      </c>
      <c r="C150" s="3" t="s">
        <v>42</v>
      </c>
      <c r="D150" s="11">
        <v>20000</v>
      </c>
      <c r="E150" s="9" t="str" cm="1">
        <f t="array" ref="E150">_xlfn.IFS(D150&gt;149000, "Very High", D150&gt;99000, "High", D150&gt;59999, "Average", D150&gt;19999, "Low", D150&gt;0, "Poverty")</f>
        <v>Low</v>
      </c>
      <c r="F150" s="3">
        <v>4</v>
      </c>
      <c r="G150" t="s">
        <v>27</v>
      </c>
      <c r="H150" t="s">
        <v>14</v>
      </c>
      <c r="I150" s="3" t="s">
        <v>15</v>
      </c>
      <c r="J150" s="3">
        <v>2</v>
      </c>
      <c r="K150" t="s">
        <v>23</v>
      </c>
      <c r="L150" t="s">
        <v>24</v>
      </c>
      <c r="M150" s="3">
        <v>60</v>
      </c>
      <c r="N150" s="3" t="str" cm="1">
        <f t="array" ref="N150">_xlfn.IFS(M150&gt;59, "Pension Age", M150&gt;44, "Elderly (45+)", M150&gt;29, "Middle Age (30+)", M150&gt;22, "Adult (23+)", M150&gt;15, "Teen/Young Adult (16+)")</f>
        <v>Pension Age</v>
      </c>
      <c r="O150" s="3" t="s">
        <v>18</v>
      </c>
    </row>
    <row r="151" spans="1:15" x14ac:dyDescent="0.3">
      <c r="A151" s="4">
        <v>12728</v>
      </c>
      <c r="B151" s="3" t="s">
        <v>40</v>
      </c>
      <c r="C151" s="3" t="s">
        <v>42</v>
      </c>
      <c r="D151" s="11">
        <v>30000</v>
      </c>
      <c r="E151" s="9" t="str" cm="1">
        <f t="array" ref="E151">_xlfn.IFS(D151&gt;149000, "Very High", D151&gt;99000, "High", D151&gt;59999, "Average", D151&gt;19999, "Low", D151&gt;0, "Poverty")</f>
        <v>Low</v>
      </c>
      <c r="F151" s="3">
        <v>0</v>
      </c>
      <c r="G151" t="s">
        <v>19</v>
      </c>
      <c r="H151" t="s">
        <v>20</v>
      </c>
      <c r="I151" s="3" t="s">
        <v>18</v>
      </c>
      <c r="J151" s="3">
        <v>1</v>
      </c>
      <c r="K151" t="s">
        <v>26</v>
      </c>
      <c r="L151" t="s">
        <v>17</v>
      </c>
      <c r="M151" s="3">
        <v>27</v>
      </c>
      <c r="N151" s="3" t="str" cm="1">
        <f t="array" ref="N151">_xlfn.IFS(M151&gt;59, "Pension Age", M151&gt;44, "Elderly (45+)", M151&gt;29, "Middle Age (30+)", M151&gt;22, "Adult (23+)", M151&gt;15, "Teen/Young Adult (16+)")</f>
        <v>Adult (23+)</v>
      </c>
      <c r="O151" s="3" t="s">
        <v>18</v>
      </c>
    </row>
    <row r="152" spans="1:15" x14ac:dyDescent="0.3">
      <c r="A152" s="4">
        <v>26154</v>
      </c>
      <c r="B152" s="3" t="s">
        <v>39</v>
      </c>
      <c r="C152" s="3" t="s">
        <v>42</v>
      </c>
      <c r="D152" s="11">
        <v>60000</v>
      </c>
      <c r="E152" s="9" t="str" cm="1">
        <f t="array" ref="E152">_xlfn.IFS(D152&gt;149000, "Very High", D152&gt;99000, "High", D152&gt;59999, "Average", D152&gt;19999, "Low", D152&gt;0, "Poverty")</f>
        <v>Average</v>
      </c>
      <c r="F152" s="3">
        <v>1</v>
      </c>
      <c r="G152" t="s">
        <v>19</v>
      </c>
      <c r="H152" t="s">
        <v>14</v>
      </c>
      <c r="I152" s="3" t="s">
        <v>15</v>
      </c>
      <c r="J152" s="3">
        <v>1</v>
      </c>
      <c r="K152" t="s">
        <v>23</v>
      </c>
      <c r="L152" t="s">
        <v>24</v>
      </c>
      <c r="M152" s="3">
        <v>43</v>
      </c>
      <c r="N152" s="3" t="str" cm="1">
        <f t="array" ref="N152">_xlfn.IFS(M152&gt;59, "Pension Age", M152&gt;44, "Elderly (45+)", M152&gt;29, "Middle Age (30+)", M152&gt;22, "Adult (23+)", M152&gt;15, "Teen/Young Adult (16+)")</f>
        <v>Middle Age (30+)</v>
      </c>
      <c r="O152" s="3" t="s">
        <v>15</v>
      </c>
    </row>
    <row r="153" spans="1:15" x14ac:dyDescent="0.3">
      <c r="A153" s="4">
        <v>29117</v>
      </c>
      <c r="B153" s="3" t="s">
        <v>40</v>
      </c>
      <c r="C153" s="3" t="s">
        <v>42</v>
      </c>
      <c r="D153" s="11">
        <v>100000</v>
      </c>
      <c r="E153" s="9" t="str" cm="1">
        <f t="array" ref="E153">_xlfn.IFS(D153&gt;149000, "Very High", D153&gt;99000, "High", D153&gt;59999, "Average", D153&gt;19999, "Low", D153&gt;0, "Poverty")</f>
        <v>High</v>
      </c>
      <c r="F153" s="3">
        <v>1</v>
      </c>
      <c r="G153" t="s">
        <v>13</v>
      </c>
      <c r="H153" t="s">
        <v>28</v>
      </c>
      <c r="I153" s="3" t="s">
        <v>18</v>
      </c>
      <c r="J153" s="3">
        <v>3</v>
      </c>
      <c r="K153" t="s">
        <v>16</v>
      </c>
      <c r="L153" t="s">
        <v>24</v>
      </c>
      <c r="M153" s="3">
        <v>48</v>
      </c>
      <c r="N153" s="3" t="str" cm="1">
        <f t="array" ref="N153">_xlfn.IFS(M153&gt;59, "Pension Age", M153&gt;44, "Elderly (45+)", M153&gt;29, "Middle Age (30+)", M153&gt;22, "Adult (23+)", M153&gt;15, "Teen/Young Adult (16+)")</f>
        <v>Elderly (45+)</v>
      </c>
      <c r="O153" s="3" t="s">
        <v>18</v>
      </c>
    </row>
    <row r="154" spans="1:15" x14ac:dyDescent="0.3">
      <c r="A154" s="4">
        <v>17845</v>
      </c>
      <c r="B154" s="3" t="s">
        <v>40</v>
      </c>
      <c r="C154" s="3" t="s">
        <v>41</v>
      </c>
      <c r="D154" s="11">
        <v>20000</v>
      </c>
      <c r="E154" s="9" t="str" cm="1">
        <f t="array" ref="E154">_xlfn.IFS(D154&gt;149000, "Very High", D154&gt;99000, "High", D154&gt;59999, "Average", D154&gt;19999, "Low", D154&gt;0, "Poverty")</f>
        <v>Low</v>
      </c>
      <c r="F154" s="3">
        <v>0</v>
      </c>
      <c r="G154" t="s">
        <v>29</v>
      </c>
      <c r="H154" t="s">
        <v>25</v>
      </c>
      <c r="I154" s="3" t="s">
        <v>18</v>
      </c>
      <c r="J154" s="3">
        <v>2</v>
      </c>
      <c r="K154" t="s">
        <v>26</v>
      </c>
      <c r="L154" t="s">
        <v>17</v>
      </c>
      <c r="M154" s="3">
        <v>32</v>
      </c>
      <c r="N154" s="3" t="str" cm="1">
        <f t="array" ref="N154">_xlfn.IFS(M154&gt;59, "Pension Age", M154&gt;44, "Elderly (45+)", M154&gt;29, "Middle Age (30+)", M154&gt;22, "Adult (23+)", M154&gt;15, "Teen/Young Adult (16+)")</f>
        <v>Middle Age (30+)</v>
      </c>
      <c r="O154" s="3" t="s">
        <v>18</v>
      </c>
    </row>
    <row r="155" spans="1:15" x14ac:dyDescent="0.3">
      <c r="A155" s="4">
        <v>25058</v>
      </c>
      <c r="B155" s="3" t="s">
        <v>39</v>
      </c>
      <c r="C155" s="3" t="s">
        <v>42</v>
      </c>
      <c r="D155" s="11">
        <v>100000</v>
      </c>
      <c r="E155" s="9" t="str" cm="1">
        <f t="array" ref="E155">_xlfn.IFS(D155&gt;149000, "Very High", D155&gt;99000, "High", D155&gt;59999, "Average", D155&gt;19999, "Low", D155&gt;0, "Poverty")</f>
        <v>High</v>
      </c>
      <c r="F155" s="3">
        <v>1</v>
      </c>
      <c r="G155" t="s">
        <v>13</v>
      </c>
      <c r="H155" t="s">
        <v>28</v>
      </c>
      <c r="I155" s="3" t="s">
        <v>15</v>
      </c>
      <c r="J155" s="3">
        <v>3</v>
      </c>
      <c r="K155" t="s">
        <v>22</v>
      </c>
      <c r="L155" t="s">
        <v>24</v>
      </c>
      <c r="M155" s="3">
        <v>47</v>
      </c>
      <c r="N155" s="3" t="str" cm="1">
        <f t="array" ref="N155">_xlfn.IFS(M155&gt;59, "Pension Age", M155&gt;44, "Elderly (45+)", M155&gt;29, "Middle Age (30+)", M155&gt;22, "Adult (23+)", M155&gt;15, "Teen/Young Adult (16+)")</f>
        <v>Elderly (45+)</v>
      </c>
      <c r="O155" s="3" t="s">
        <v>18</v>
      </c>
    </row>
    <row r="156" spans="1:15" x14ac:dyDescent="0.3">
      <c r="A156" s="4">
        <v>23426</v>
      </c>
      <c r="B156" s="3" t="s">
        <v>40</v>
      </c>
      <c r="C156" s="3" t="s">
        <v>42</v>
      </c>
      <c r="D156" s="11">
        <v>80000</v>
      </c>
      <c r="E156" s="9" t="str" cm="1">
        <f t="array" ref="E156">_xlfn.IFS(D156&gt;149000, "Very High", D156&gt;99000, "High", D156&gt;59999, "Average", D156&gt;19999, "Low", D156&gt;0, "Poverty")</f>
        <v>Average</v>
      </c>
      <c r="F156" s="3">
        <v>5</v>
      </c>
      <c r="G156" t="s">
        <v>31</v>
      </c>
      <c r="H156" t="s">
        <v>28</v>
      </c>
      <c r="I156" s="3" t="s">
        <v>15</v>
      </c>
      <c r="J156" s="3">
        <v>3</v>
      </c>
      <c r="K156" t="s">
        <v>16</v>
      </c>
      <c r="L156" t="s">
        <v>24</v>
      </c>
      <c r="M156" s="3">
        <v>40</v>
      </c>
      <c r="N156" s="3" t="str" cm="1">
        <f t="array" ref="N156">_xlfn.IFS(M156&gt;59, "Pension Age", M156&gt;44, "Elderly (45+)", M156&gt;29, "Middle Age (30+)", M156&gt;22, "Adult (23+)", M156&gt;15, "Teen/Young Adult (16+)")</f>
        <v>Middle Age (30+)</v>
      </c>
      <c r="O156" s="3" t="s">
        <v>18</v>
      </c>
    </row>
    <row r="157" spans="1:15" x14ac:dyDescent="0.3">
      <c r="A157" s="4">
        <v>14798</v>
      </c>
      <c r="B157" s="3" t="s">
        <v>40</v>
      </c>
      <c r="C157" s="3" t="s">
        <v>41</v>
      </c>
      <c r="D157" s="11">
        <v>10000</v>
      </c>
      <c r="E157" s="9" t="str" cm="1">
        <f t="array" ref="E157">_xlfn.IFS(D157&gt;149000, "Very High", D157&gt;99000, "High", D157&gt;59999, "Average", D157&gt;19999, "Low", D157&gt;0, "Poverty")</f>
        <v>Poverty</v>
      </c>
      <c r="F157" s="3">
        <v>4</v>
      </c>
      <c r="G157" t="s">
        <v>29</v>
      </c>
      <c r="H157" t="s">
        <v>25</v>
      </c>
      <c r="I157" s="3" t="s">
        <v>15</v>
      </c>
      <c r="J157" s="3">
        <v>2</v>
      </c>
      <c r="K157" t="s">
        <v>16</v>
      </c>
      <c r="L157" t="s">
        <v>17</v>
      </c>
      <c r="M157" s="3">
        <v>41</v>
      </c>
      <c r="N157" s="3" t="str" cm="1">
        <f t="array" ref="N157">_xlfn.IFS(M157&gt;59, "Pension Age", M157&gt;44, "Elderly (45+)", M157&gt;29, "Middle Age (30+)", M157&gt;22, "Adult (23+)", M157&gt;15, "Teen/Young Adult (16+)")</f>
        <v>Middle Age (30+)</v>
      </c>
      <c r="O157" s="3" t="s">
        <v>15</v>
      </c>
    </row>
    <row r="158" spans="1:15" x14ac:dyDescent="0.3">
      <c r="A158" s="4">
        <v>12664</v>
      </c>
      <c r="B158" s="3" t="s">
        <v>39</v>
      </c>
      <c r="C158" s="3" t="s">
        <v>41</v>
      </c>
      <c r="D158" s="11">
        <v>130000</v>
      </c>
      <c r="E158" s="9" t="str" cm="1">
        <f t="array" ref="E158">_xlfn.IFS(D158&gt;149000, "Very High", D158&gt;99000, "High", D158&gt;59999, "Average", D158&gt;19999, "Low", D158&gt;0, "Poverty")</f>
        <v>High</v>
      </c>
      <c r="F158" s="3">
        <v>5</v>
      </c>
      <c r="G158" t="s">
        <v>19</v>
      </c>
      <c r="H158" t="s">
        <v>21</v>
      </c>
      <c r="I158" s="3" t="s">
        <v>15</v>
      </c>
      <c r="J158" s="3">
        <v>4</v>
      </c>
      <c r="K158" t="s">
        <v>16</v>
      </c>
      <c r="L158" t="s">
        <v>17</v>
      </c>
      <c r="M158" s="3">
        <v>59</v>
      </c>
      <c r="N158" s="3" t="str" cm="1">
        <f t="array" ref="N158">_xlfn.IFS(M158&gt;59, "Pension Age", M158&gt;44, "Elderly (45+)", M158&gt;29, "Middle Age (30+)", M158&gt;22, "Adult (23+)", M158&gt;15, "Teen/Young Adult (16+)")</f>
        <v>Elderly (45+)</v>
      </c>
      <c r="O158" s="3" t="s">
        <v>18</v>
      </c>
    </row>
    <row r="159" spans="1:15" x14ac:dyDescent="0.3">
      <c r="A159" s="4">
        <v>23979</v>
      </c>
      <c r="B159" s="3" t="s">
        <v>40</v>
      </c>
      <c r="C159" s="3" t="s">
        <v>42</v>
      </c>
      <c r="D159" s="11">
        <v>10000</v>
      </c>
      <c r="E159" s="9" t="str" cm="1">
        <f t="array" ref="E159">_xlfn.IFS(D159&gt;149000, "Very High", D159&gt;99000, "High", D159&gt;59999, "Average", D159&gt;19999, "Low", D159&gt;0, "Poverty")</f>
        <v>Poverty</v>
      </c>
      <c r="F159" s="3">
        <v>2</v>
      </c>
      <c r="G159" t="s">
        <v>19</v>
      </c>
      <c r="H159" t="s">
        <v>25</v>
      </c>
      <c r="I159" s="3" t="s">
        <v>18</v>
      </c>
      <c r="J159" s="3">
        <v>0</v>
      </c>
      <c r="K159" t="s">
        <v>16</v>
      </c>
      <c r="L159" t="s">
        <v>17</v>
      </c>
      <c r="M159" s="3">
        <v>50</v>
      </c>
      <c r="N159" s="3" t="str" cm="1">
        <f t="array" ref="N159">_xlfn.IFS(M159&gt;59, "Pension Age", M159&gt;44, "Elderly (45+)", M159&gt;29, "Middle Age (30+)", M159&gt;22, "Adult (23+)", M159&gt;15, "Teen/Young Adult (16+)")</f>
        <v>Elderly (45+)</v>
      </c>
      <c r="O159" s="3" t="s">
        <v>18</v>
      </c>
    </row>
    <row r="160" spans="1:15" x14ac:dyDescent="0.3">
      <c r="A160" s="4">
        <v>25605</v>
      </c>
      <c r="B160" s="3" t="s">
        <v>40</v>
      </c>
      <c r="C160" s="3" t="s">
        <v>41</v>
      </c>
      <c r="D160" s="11">
        <v>20000</v>
      </c>
      <c r="E160" s="9" t="str" cm="1">
        <f t="array" ref="E160">_xlfn.IFS(D160&gt;149000, "Very High", D160&gt;99000, "High", D160&gt;59999, "Average", D160&gt;19999, "Low", D160&gt;0, "Poverty")</f>
        <v>Low</v>
      </c>
      <c r="F160" s="3">
        <v>2</v>
      </c>
      <c r="G160" t="s">
        <v>19</v>
      </c>
      <c r="H160" t="s">
        <v>25</v>
      </c>
      <c r="I160" s="3" t="s">
        <v>18</v>
      </c>
      <c r="J160" s="3">
        <v>1</v>
      </c>
      <c r="K160" t="s">
        <v>16</v>
      </c>
      <c r="L160" t="s">
        <v>17</v>
      </c>
      <c r="M160" s="3">
        <v>54</v>
      </c>
      <c r="N160" s="3" t="str" cm="1">
        <f t="array" ref="N160">_xlfn.IFS(M160&gt;59, "Pension Age", M160&gt;44, "Elderly (45+)", M160&gt;29, "Middle Age (30+)", M160&gt;22, "Adult (23+)", M160&gt;15, "Teen/Young Adult (16+)")</f>
        <v>Elderly (45+)</v>
      </c>
      <c r="O160" s="3" t="s">
        <v>15</v>
      </c>
    </row>
    <row r="161" spans="1:15" x14ac:dyDescent="0.3">
      <c r="A161" s="4">
        <v>20797</v>
      </c>
      <c r="B161" s="3" t="s">
        <v>39</v>
      </c>
      <c r="C161" s="3" t="s">
        <v>41</v>
      </c>
      <c r="D161" s="11">
        <v>10000</v>
      </c>
      <c r="E161" s="9" t="str" cm="1">
        <f t="array" ref="E161">_xlfn.IFS(D161&gt;149000, "Very High", D161&gt;99000, "High", D161&gt;59999, "Average", D161&gt;19999, "Low", D161&gt;0, "Poverty")</f>
        <v>Poverty</v>
      </c>
      <c r="F161" s="3">
        <v>1</v>
      </c>
      <c r="G161" t="s">
        <v>13</v>
      </c>
      <c r="H161" t="s">
        <v>25</v>
      </c>
      <c r="I161" s="3" t="s">
        <v>15</v>
      </c>
      <c r="J161" s="3">
        <v>0</v>
      </c>
      <c r="K161" t="s">
        <v>16</v>
      </c>
      <c r="L161" t="s">
        <v>17</v>
      </c>
      <c r="M161" s="3">
        <v>48</v>
      </c>
      <c r="N161" s="3" t="str" cm="1">
        <f t="array" ref="N161">_xlfn.IFS(M161&gt;59, "Pension Age", M161&gt;44, "Elderly (45+)", M161&gt;29, "Middle Age (30+)", M161&gt;22, "Adult (23+)", M161&gt;15, "Teen/Young Adult (16+)")</f>
        <v>Elderly (45+)</v>
      </c>
      <c r="O161" s="3" t="s">
        <v>18</v>
      </c>
    </row>
    <row r="162" spans="1:15" x14ac:dyDescent="0.3">
      <c r="A162" s="4">
        <v>21980</v>
      </c>
      <c r="B162" s="3" t="s">
        <v>40</v>
      </c>
      <c r="C162" s="3" t="s">
        <v>41</v>
      </c>
      <c r="D162" s="11">
        <v>60000</v>
      </c>
      <c r="E162" s="9" t="str" cm="1">
        <f t="array" ref="E162">_xlfn.IFS(D162&gt;149000, "Very High", D162&gt;99000, "High", D162&gt;59999, "Average", D162&gt;19999, "Low", D162&gt;0, "Poverty")</f>
        <v>Average</v>
      </c>
      <c r="F162" s="3">
        <v>1</v>
      </c>
      <c r="G162" t="s">
        <v>13</v>
      </c>
      <c r="H162" t="s">
        <v>21</v>
      </c>
      <c r="I162" s="3" t="s">
        <v>15</v>
      </c>
      <c r="J162" s="3">
        <v>1</v>
      </c>
      <c r="K162" t="s">
        <v>23</v>
      </c>
      <c r="L162" t="s">
        <v>24</v>
      </c>
      <c r="M162" s="3">
        <v>44</v>
      </c>
      <c r="N162" s="3" t="str" cm="1">
        <f t="array" ref="N162">_xlfn.IFS(M162&gt;59, "Pension Age", M162&gt;44, "Elderly (45+)", M162&gt;29, "Middle Age (30+)", M162&gt;22, "Adult (23+)", M162&gt;15, "Teen/Young Adult (16+)")</f>
        <v>Middle Age (30+)</v>
      </c>
      <c r="O162" s="3" t="s">
        <v>15</v>
      </c>
    </row>
    <row r="163" spans="1:15" x14ac:dyDescent="0.3">
      <c r="A163" s="4">
        <v>25460</v>
      </c>
      <c r="B163" s="3" t="s">
        <v>39</v>
      </c>
      <c r="C163" s="3" t="s">
        <v>41</v>
      </c>
      <c r="D163" s="11">
        <v>20000</v>
      </c>
      <c r="E163" s="9" t="str" cm="1">
        <f t="array" ref="E163">_xlfn.IFS(D163&gt;149000, "Very High", D163&gt;99000, "High", D163&gt;59999, "Average", D163&gt;19999, "Low", D163&gt;0, "Poverty")</f>
        <v>Low</v>
      </c>
      <c r="F163" s="3">
        <v>2</v>
      </c>
      <c r="G163" t="s">
        <v>27</v>
      </c>
      <c r="H163" t="s">
        <v>25</v>
      </c>
      <c r="I163" s="3" t="s">
        <v>15</v>
      </c>
      <c r="J163" s="3">
        <v>0</v>
      </c>
      <c r="K163" t="s">
        <v>16</v>
      </c>
      <c r="L163" t="s">
        <v>17</v>
      </c>
      <c r="M163" s="3">
        <v>40</v>
      </c>
      <c r="N163" s="3" t="str" cm="1">
        <f t="array" ref="N163">_xlfn.IFS(M163&gt;59, "Pension Age", M163&gt;44, "Elderly (45+)", M163&gt;29, "Middle Age (30+)", M163&gt;22, "Adult (23+)", M163&gt;15, "Teen/Young Adult (16+)")</f>
        <v>Middle Age (30+)</v>
      </c>
      <c r="O163" s="3" t="s">
        <v>15</v>
      </c>
    </row>
    <row r="164" spans="1:15" x14ac:dyDescent="0.3">
      <c r="A164" s="4">
        <v>29181</v>
      </c>
      <c r="B164" s="3" t="s">
        <v>40</v>
      </c>
      <c r="C164" s="3" t="s">
        <v>41</v>
      </c>
      <c r="D164" s="11">
        <v>60000</v>
      </c>
      <c r="E164" s="9" t="str" cm="1">
        <f t="array" ref="E164">_xlfn.IFS(D164&gt;149000, "Very High", D164&gt;99000, "High", D164&gt;59999, "Average", D164&gt;19999, "Low", D164&gt;0, "Poverty")</f>
        <v>Average</v>
      </c>
      <c r="F164" s="3">
        <v>2</v>
      </c>
      <c r="G164" t="s">
        <v>13</v>
      </c>
      <c r="H164" t="s">
        <v>21</v>
      </c>
      <c r="I164" s="3" t="s">
        <v>18</v>
      </c>
      <c r="J164" s="3">
        <v>1</v>
      </c>
      <c r="K164" t="s">
        <v>16</v>
      </c>
      <c r="L164" t="s">
        <v>24</v>
      </c>
      <c r="M164" s="3">
        <v>38</v>
      </c>
      <c r="N164" s="3" t="str" cm="1">
        <f t="array" ref="N164">_xlfn.IFS(M164&gt;59, "Pension Age", M164&gt;44, "Elderly (45+)", M164&gt;29, "Middle Age (30+)", M164&gt;22, "Adult (23+)", M164&gt;15, "Teen/Young Adult (16+)")</f>
        <v>Middle Age (30+)</v>
      </c>
      <c r="O164" s="3" t="s">
        <v>15</v>
      </c>
    </row>
    <row r="165" spans="1:15" x14ac:dyDescent="0.3">
      <c r="A165" s="4">
        <v>24279</v>
      </c>
      <c r="B165" s="3" t="s">
        <v>40</v>
      </c>
      <c r="C165" s="3" t="s">
        <v>42</v>
      </c>
      <c r="D165" s="11">
        <v>40000</v>
      </c>
      <c r="E165" s="9" t="str" cm="1">
        <f t="array" ref="E165">_xlfn.IFS(D165&gt;149000, "Very High", D165&gt;99000, "High", D165&gt;59999, "Average", D165&gt;19999, "Low", D165&gt;0, "Poverty")</f>
        <v>Low</v>
      </c>
      <c r="F165" s="3">
        <v>2</v>
      </c>
      <c r="G165" t="s">
        <v>19</v>
      </c>
      <c r="H165" t="s">
        <v>14</v>
      </c>
      <c r="I165" s="3" t="s">
        <v>18</v>
      </c>
      <c r="J165" s="3">
        <v>2</v>
      </c>
      <c r="K165" t="s">
        <v>26</v>
      </c>
      <c r="L165" t="s">
        <v>24</v>
      </c>
      <c r="M165" s="3">
        <v>52</v>
      </c>
      <c r="N165" s="3" t="str" cm="1">
        <f t="array" ref="N165">_xlfn.IFS(M165&gt;59, "Pension Age", M165&gt;44, "Elderly (45+)", M165&gt;29, "Middle Age (30+)", M165&gt;22, "Adult (23+)", M165&gt;15, "Teen/Young Adult (16+)")</f>
        <v>Elderly (45+)</v>
      </c>
      <c r="O165" s="3" t="s">
        <v>18</v>
      </c>
    </row>
    <row r="166" spans="1:15" x14ac:dyDescent="0.3">
      <c r="A166" s="4">
        <v>22402</v>
      </c>
      <c r="B166" s="3" t="s">
        <v>39</v>
      </c>
      <c r="C166" s="3" t="s">
        <v>42</v>
      </c>
      <c r="D166" s="11">
        <v>10000</v>
      </c>
      <c r="E166" s="9" t="str" cm="1">
        <f t="array" ref="E166">_xlfn.IFS(D166&gt;149000, "Very High", D166&gt;99000, "High", D166&gt;59999, "Average", D166&gt;19999, "Low", D166&gt;0, "Poverty")</f>
        <v>Poverty</v>
      </c>
      <c r="F166" s="3">
        <v>0</v>
      </c>
      <c r="G166" t="s">
        <v>19</v>
      </c>
      <c r="H166" t="s">
        <v>25</v>
      </c>
      <c r="I166" s="3" t="s">
        <v>15</v>
      </c>
      <c r="J166" s="3">
        <v>1</v>
      </c>
      <c r="K166" t="s">
        <v>22</v>
      </c>
      <c r="L166" t="s">
        <v>24</v>
      </c>
      <c r="M166" s="3">
        <v>25</v>
      </c>
      <c r="N166" s="3" t="str" cm="1">
        <f t="array" ref="N166">_xlfn.IFS(M166&gt;59, "Pension Age", M166&gt;44, "Elderly (45+)", M166&gt;29, "Middle Age (30+)", M166&gt;22, "Adult (23+)", M166&gt;15, "Teen/Young Adult (16+)")</f>
        <v>Adult (23+)</v>
      </c>
      <c r="O166" s="3" t="s">
        <v>15</v>
      </c>
    </row>
    <row r="167" spans="1:15" x14ac:dyDescent="0.3">
      <c r="A167" s="4">
        <v>15465</v>
      </c>
      <c r="B167" s="3" t="s">
        <v>39</v>
      </c>
      <c r="C167" s="3" t="s">
        <v>41</v>
      </c>
      <c r="D167" s="11">
        <v>10000</v>
      </c>
      <c r="E167" s="9" t="str" cm="1">
        <f t="array" ref="E167">_xlfn.IFS(D167&gt;149000, "Very High", D167&gt;99000, "High", D167&gt;59999, "Average", D167&gt;19999, "Low", D167&gt;0, "Poverty")</f>
        <v>Poverty</v>
      </c>
      <c r="F167" s="3">
        <v>0</v>
      </c>
      <c r="G167" t="s">
        <v>19</v>
      </c>
      <c r="H167" t="s">
        <v>25</v>
      </c>
      <c r="I167" s="3" t="s">
        <v>18</v>
      </c>
      <c r="J167" s="3">
        <v>1</v>
      </c>
      <c r="K167" t="s">
        <v>16</v>
      </c>
      <c r="L167" t="s">
        <v>24</v>
      </c>
      <c r="M167" s="3">
        <v>25</v>
      </c>
      <c r="N167" s="3" t="str" cm="1">
        <f t="array" ref="N167">_xlfn.IFS(M167&gt;59, "Pension Age", M167&gt;44, "Elderly (45+)", M167&gt;29, "Middle Age (30+)", M167&gt;22, "Adult (23+)", M167&gt;15, "Teen/Young Adult (16+)")</f>
        <v>Adult (23+)</v>
      </c>
      <c r="O167" s="3" t="s">
        <v>18</v>
      </c>
    </row>
    <row r="168" spans="1:15" x14ac:dyDescent="0.3">
      <c r="A168" s="4">
        <v>26757</v>
      </c>
      <c r="B168" s="3" t="s">
        <v>40</v>
      </c>
      <c r="C168" s="3" t="s">
        <v>42</v>
      </c>
      <c r="D168" s="11">
        <v>90000</v>
      </c>
      <c r="E168" s="9" t="str" cm="1">
        <f t="array" ref="E168">_xlfn.IFS(D168&gt;149000, "Very High", D168&gt;99000, "High", D168&gt;59999, "Average", D168&gt;19999, "Low", D168&gt;0, "Poverty")</f>
        <v>Average</v>
      </c>
      <c r="F168" s="3">
        <v>1</v>
      </c>
      <c r="G168" t="s">
        <v>13</v>
      </c>
      <c r="H168" t="s">
        <v>21</v>
      </c>
      <c r="I168" s="3" t="s">
        <v>15</v>
      </c>
      <c r="J168" s="3">
        <v>1</v>
      </c>
      <c r="K168" t="s">
        <v>22</v>
      </c>
      <c r="L168" t="s">
        <v>24</v>
      </c>
      <c r="M168" s="3">
        <v>47</v>
      </c>
      <c r="N168" s="3" t="str" cm="1">
        <f t="array" ref="N168">_xlfn.IFS(M168&gt;59, "Pension Age", M168&gt;44, "Elderly (45+)", M168&gt;29, "Middle Age (30+)", M168&gt;22, "Adult (23+)", M168&gt;15, "Teen/Young Adult (16+)")</f>
        <v>Elderly (45+)</v>
      </c>
      <c r="O168" s="3" t="s">
        <v>15</v>
      </c>
    </row>
    <row r="169" spans="1:15" x14ac:dyDescent="0.3">
      <c r="A169" s="4">
        <v>14233</v>
      </c>
      <c r="B169" s="3" t="s">
        <v>40</v>
      </c>
      <c r="C169" s="3" t="s">
        <v>42</v>
      </c>
      <c r="D169" s="11">
        <v>100000</v>
      </c>
      <c r="E169" s="9" t="str" cm="1">
        <f t="array" ref="E169">_xlfn.IFS(D169&gt;149000, "Very High", D169&gt;99000, "High", D169&gt;59999, "Average", D169&gt;19999, "Low", D169&gt;0, "Poverty")</f>
        <v>High</v>
      </c>
      <c r="F169" s="3">
        <v>0</v>
      </c>
      <c r="G169" t="s">
        <v>27</v>
      </c>
      <c r="H169" t="s">
        <v>28</v>
      </c>
      <c r="I169" s="3" t="s">
        <v>15</v>
      </c>
      <c r="J169" s="3">
        <v>3</v>
      </c>
      <c r="K169" t="s">
        <v>30</v>
      </c>
      <c r="L169" t="s">
        <v>24</v>
      </c>
      <c r="M169" s="3">
        <v>35</v>
      </c>
      <c r="N169" s="3" t="str" cm="1">
        <f t="array" ref="N169">_xlfn.IFS(M169&gt;59, "Pension Age", M169&gt;44, "Elderly (45+)", M169&gt;29, "Middle Age (30+)", M169&gt;22, "Adult (23+)", M169&gt;15, "Teen/Young Adult (16+)")</f>
        <v>Middle Age (30+)</v>
      </c>
      <c r="O169" s="3" t="s">
        <v>18</v>
      </c>
    </row>
    <row r="170" spans="1:15" x14ac:dyDescent="0.3">
      <c r="A170" s="4">
        <v>14058</v>
      </c>
      <c r="B170" s="3" t="s">
        <v>40</v>
      </c>
      <c r="C170" s="3" t="s">
        <v>42</v>
      </c>
      <c r="D170" s="11">
        <v>70000</v>
      </c>
      <c r="E170" s="9" t="str" cm="1">
        <f t="array" ref="E170">_xlfn.IFS(D170&gt;149000, "Very High", D170&gt;99000, "High", D170&gt;59999, "Average", D170&gt;19999, "Low", D170&gt;0, "Poverty")</f>
        <v>Average</v>
      </c>
      <c r="F170" s="3">
        <v>0</v>
      </c>
      <c r="G170" t="s">
        <v>13</v>
      </c>
      <c r="H170" t="s">
        <v>21</v>
      </c>
      <c r="I170" s="3" t="s">
        <v>18</v>
      </c>
      <c r="J170" s="3">
        <v>1</v>
      </c>
      <c r="K170" t="s">
        <v>23</v>
      </c>
      <c r="L170" t="s">
        <v>24</v>
      </c>
      <c r="M170" s="3">
        <v>41</v>
      </c>
      <c r="N170" s="3" t="str" cm="1">
        <f t="array" ref="N170">_xlfn.IFS(M170&gt;59, "Pension Age", M170&gt;44, "Elderly (45+)", M170&gt;29, "Middle Age (30+)", M170&gt;22, "Adult (23+)", M170&gt;15, "Teen/Young Adult (16+)")</f>
        <v>Middle Age (30+)</v>
      </c>
      <c r="O170" s="3" t="s">
        <v>15</v>
      </c>
    </row>
    <row r="171" spans="1:15" x14ac:dyDescent="0.3">
      <c r="A171" s="4">
        <v>12273</v>
      </c>
      <c r="B171" s="3" t="s">
        <v>39</v>
      </c>
      <c r="C171" s="3" t="s">
        <v>42</v>
      </c>
      <c r="D171" s="11">
        <v>30000</v>
      </c>
      <c r="E171" s="9" t="str" cm="1">
        <f t="array" ref="E171">_xlfn.IFS(D171&gt;149000, "Very High", D171&gt;99000, "High", D171&gt;59999, "Average", D171&gt;19999, "Low", D171&gt;0, "Poverty")</f>
        <v>Low</v>
      </c>
      <c r="F171" s="3">
        <v>1</v>
      </c>
      <c r="G171" t="s">
        <v>13</v>
      </c>
      <c r="H171" t="s">
        <v>20</v>
      </c>
      <c r="I171" s="3" t="s">
        <v>15</v>
      </c>
      <c r="J171" s="3">
        <v>0</v>
      </c>
      <c r="K171" t="s">
        <v>16</v>
      </c>
      <c r="L171" t="s">
        <v>17</v>
      </c>
      <c r="M171" s="3">
        <v>47</v>
      </c>
      <c r="N171" s="3" t="str" cm="1">
        <f t="array" ref="N171">_xlfn.IFS(M171&gt;59, "Pension Age", M171&gt;44, "Elderly (45+)", M171&gt;29, "Middle Age (30+)", M171&gt;22, "Adult (23+)", M171&gt;15, "Teen/Young Adult (16+)")</f>
        <v>Elderly (45+)</v>
      </c>
      <c r="O171" s="3" t="s">
        <v>18</v>
      </c>
    </row>
    <row r="172" spans="1:15" x14ac:dyDescent="0.3">
      <c r="A172" s="4">
        <v>17203</v>
      </c>
      <c r="B172" s="3" t="s">
        <v>39</v>
      </c>
      <c r="C172" s="3" t="s">
        <v>41</v>
      </c>
      <c r="D172" s="11">
        <v>130000</v>
      </c>
      <c r="E172" s="9" t="str" cm="1">
        <f t="array" ref="E172">_xlfn.IFS(D172&gt;149000, "Very High", D172&gt;99000, "High", D172&gt;59999, "Average", D172&gt;19999, "Low", D172&gt;0, "Poverty")</f>
        <v>High</v>
      </c>
      <c r="F172" s="3">
        <v>4</v>
      </c>
      <c r="G172" t="s">
        <v>19</v>
      </c>
      <c r="H172" t="s">
        <v>21</v>
      </c>
      <c r="I172" s="3" t="s">
        <v>15</v>
      </c>
      <c r="J172" s="3">
        <v>4</v>
      </c>
      <c r="K172" t="s">
        <v>23</v>
      </c>
      <c r="L172" t="s">
        <v>17</v>
      </c>
      <c r="M172" s="3">
        <v>61</v>
      </c>
      <c r="N172" s="3" t="str" cm="1">
        <f t="array" ref="N172">_xlfn.IFS(M172&gt;59, "Pension Age", M172&gt;44, "Elderly (45+)", M172&gt;29, "Middle Age (30+)", M172&gt;22, "Adult (23+)", M172&gt;15, "Teen/Young Adult (16+)")</f>
        <v>Pension Age</v>
      </c>
      <c r="O172" s="3" t="s">
        <v>15</v>
      </c>
    </row>
    <row r="173" spans="1:15" x14ac:dyDescent="0.3">
      <c r="A173" s="4">
        <v>18144</v>
      </c>
      <c r="B173" s="3" t="s">
        <v>39</v>
      </c>
      <c r="C173" s="3" t="s">
        <v>41</v>
      </c>
      <c r="D173" s="11">
        <v>80000</v>
      </c>
      <c r="E173" s="9" t="str" cm="1">
        <f t="array" ref="E173">_xlfn.IFS(D173&gt;149000, "Very High", D173&gt;99000, "High", D173&gt;59999, "Average", D173&gt;19999, "Low", D173&gt;0, "Poverty")</f>
        <v>Average</v>
      </c>
      <c r="F173" s="3">
        <v>5</v>
      </c>
      <c r="G173" t="s">
        <v>13</v>
      </c>
      <c r="H173" t="s">
        <v>28</v>
      </c>
      <c r="I173" s="3" t="s">
        <v>15</v>
      </c>
      <c r="J173" s="3">
        <v>2</v>
      </c>
      <c r="K173" t="s">
        <v>22</v>
      </c>
      <c r="L173" t="s">
        <v>17</v>
      </c>
      <c r="M173" s="3">
        <v>61</v>
      </c>
      <c r="N173" s="3" t="str" cm="1">
        <f t="array" ref="N173">_xlfn.IFS(M173&gt;59, "Pension Age", M173&gt;44, "Elderly (45+)", M173&gt;29, "Middle Age (30+)", M173&gt;22, "Adult (23+)", M173&gt;15, "Teen/Young Adult (16+)")</f>
        <v>Pension Age</v>
      </c>
      <c r="O173" s="3" t="s">
        <v>18</v>
      </c>
    </row>
    <row r="174" spans="1:15" x14ac:dyDescent="0.3">
      <c r="A174" s="4">
        <v>23963</v>
      </c>
      <c r="B174" s="3" t="s">
        <v>39</v>
      </c>
      <c r="C174" s="3" t="s">
        <v>42</v>
      </c>
      <c r="D174" s="11">
        <v>10000</v>
      </c>
      <c r="E174" s="9" t="str" cm="1">
        <f t="array" ref="E174">_xlfn.IFS(D174&gt;149000, "Very High", D174&gt;99000, "High", D174&gt;59999, "Average", D174&gt;19999, "Low", D174&gt;0, "Poverty")</f>
        <v>Poverty</v>
      </c>
      <c r="F174" s="3">
        <v>0</v>
      </c>
      <c r="G174" t="s">
        <v>29</v>
      </c>
      <c r="H174" t="s">
        <v>25</v>
      </c>
      <c r="I174" s="3" t="s">
        <v>18</v>
      </c>
      <c r="J174" s="3">
        <v>2</v>
      </c>
      <c r="K174" t="s">
        <v>16</v>
      </c>
      <c r="L174" t="s">
        <v>17</v>
      </c>
      <c r="M174" s="3">
        <v>33</v>
      </c>
      <c r="N174" s="3" t="str" cm="1">
        <f t="array" ref="N174">_xlfn.IFS(M174&gt;59, "Pension Age", M174&gt;44, "Elderly (45+)", M174&gt;29, "Middle Age (30+)", M174&gt;22, "Adult (23+)", M174&gt;15, "Teen/Young Adult (16+)")</f>
        <v>Middle Age (30+)</v>
      </c>
      <c r="O174" s="3" t="s">
        <v>18</v>
      </c>
    </row>
    <row r="175" spans="1:15" x14ac:dyDescent="0.3">
      <c r="A175" s="4">
        <v>17907</v>
      </c>
      <c r="B175" s="3" t="s">
        <v>39</v>
      </c>
      <c r="C175" s="3" t="s">
        <v>41</v>
      </c>
      <c r="D175" s="11">
        <v>10000</v>
      </c>
      <c r="E175" s="9" t="str" cm="1">
        <f t="array" ref="E175">_xlfn.IFS(D175&gt;149000, "Very High", D175&gt;99000, "High", D175&gt;59999, "Average", D175&gt;19999, "Low", D175&gt;0, "Poverty")</f>
        <v>Poverty</v>
      </c>
      <c r="F175" s="3">
        <v>0</v>
      </c>
      <c r="G175" t="s">
        <v>19</v>
      </c>
      <c r="H175" t="s">
        <v>25</v>
      </c>
      <c r="I175" s="3" t="s">
        <v>15</v>
      </c>
      <c r="J175" s="3">
        <v>1</v>
      </c>
      <c r="K175" t="s">
        <v>22</v>
      </c>
      <c r="L175" t="s">
        <v>24</v>
      </c>
      <c r="M175" s="3">
        <v>27</v>
      </c>
      <c r="N175" s="3" t="str" cm="1">
        <f t="array" ref="N175">_xlfn.IFS(M175&gt;59, "Pension Age", M175&gt;44, "Elderly (45+)", M175&gt;29, "Middle Age (30+)", M175&gt;22, "Adult (23+)", M175&gt;15, "Teen/Young Adult (16+)")</f>
        <v>Adult (23+)</v>
      </c>
      <c r="O175" s="3" t="s">
        <v>18</v>
      </c>
    </row>
    <row r="176" spans="1:15" x14ac:dyDescent="0.3">
      <c r="A176" s="4">
        <v>19442</v>
      </c>
      <c r="B176" s="3" t="s">
        <v>40</v>
      </c>
      <c r="C176" s="3" t="s">
        <v>42</v>
      </c>
      <c r="D176" s="11">
        <v>50000</v>
      </c>
      <c r="E176" s="9" t="str" cm="1">
        <f t="array" ref="E176">_xlfn.IFS(D176&gt;149000, "Very High", D176&gt;99000, "High", D176&gt;59999, "Average", D176&gt;19999, "Low", D176&gt;0, "Poverty")</f>
        <v>Low</v>
      </c>
      <c r="F176" s="3">
        <v>0</v>
      </c>
      <c r="G176" t="s">
        <v>31</v>
      </c>
      <c r="H176" t="s">
        <v>14</v>
      </c>
      <c r="I176" s="3" t="s">
        <v>15</v>
      </c>
      <c r="J176" s="3">
        <v>0</v>
      </c>
      <c r="K176" t="s">
        <v>16</v>
      </c>
      <c r="L176" t="s">
        <v>17</v>
      </c>
      <c r="M176" s="3">
        <v>37</v>
      </c>
      <c r="N176" s="3" t="str" cm="1">
        <f t="array" ref="N176">_xlfn.IFS(M176&gt;59, "Pension Age", M176&gt;44, "Elderly (45+)", M176&gt;29, "Middle Age (30+)", M176&gt;22, "Adult (23+)", M176&gt;15, "Teen/Young Adult (16+)")</f>
        <v>Middle Age (30+)</v>
      </c>
      <c r="O176" s="3" t="s">
        <v>15</v>
      </c>
    </row>
    <row r="177" spans="1:15" x14ac:dyDescent="0.3">
      <c r="A177" s="4">
        <v>17504</v>
      </c>
      <c r="B177" s="3" t="s">
        <v>40</v>
      </c>
      <c r="C177" s="3" t="s">
        <v>41</v>
      </c>
      <c r="D177" s="11">
        <v>80000</v>
      </c>
      <c r="E177" s="9" t="str" cm="1">
        <f t="array" ref="E177">_xlfn.IFS(D177&gt;149000, "Very High", D177&gt;99000, "High", D177&gt;59999, "Average", D177&gt;19999, "Low", D177&gt;0, "Poverty")</f>
        <v>Average</v>
      </c>
      <c r="F177" s="3">
        <v>2</v>
      </c>
      <c r="G177" t="s">
        <v>19</v>
      </c>
      <c r="H177" t="s">
        <v>14</v>
      </c>
      <c r="I177" s="3" t="s">
        <v>15</v>
      </c>
      <c r="J177" s="3">
        <v>2</v>
      </c>
      <c r="K177" t="s">
        <v>23</v>
      </c>
      <c r="L177" t="s">
        <v>24</v>
      </c>
      <c r="M177" s="3">
        <v>52</v>
      </c>
      <c r="N177" s="3" t="str" cm="1">
        <f t="array" ref="N177">_xlfn.IFS(M177&gt;59, "Pension Age", M177&gt;44, "Elderly (45+)", M177&gt;29, "Middle Age (30+)", M177&gt;22, "Adult (23+)", M177&gt;15, "Teen/Young Adult (16+)")</f>
        <v>Elderly (45+)</v>
      </c>
      <c r="O177" s="3" t="s">
        <v>15</v>
      </c>
    </row>
    <row r="178" spans="1:15" x14ac:dyDescent="0.3">
      <c r="A178" s="4">
        <v>12253</v>
      </c>
      <c r="B178" s="3" t="s">
        <v>40</v>
      </c>
      <c r="C178" s="3" t="s">
        <v>41</v>
      </c>
      <c r="D178" s="11">
        <v>20000</v>
      </c>
      <c r="E178" s="9" t="str" cm="1">
        <f t="array" ref="E178">_xlfn.IFS(D178&gt;149000, "Very High", D178&gt;99000, "High", D178&gt;59999, "Average", D178&gt;19999, "Low", D178&gt;0, "Poverty")</f>
        <v>Low</v>
      </c>
      <c r="F178" s="3">
        <v>0</v>
      </c>
      <c r="G178" t="s">
        <v>19</v>
      </c>
      <c r="H178" t="s">
        <v>25</v>
      </c>
      <c r="I178" s="3" t="s">
        <v>15</v>
      </c>
      <c r="J178" s="3">
        <v>0</v>
      </c>
      <c r="K178" t="s">
        <v>16</v>
      </c>
      <c r="L178" t="s">
        <v>24</v>
      </c>
      <c r="M178" s="3">
        <v>29</v>
      </c>
      <c r="N178" s="3" t="str" cm="1">
        <f t="array" ref="N178">_xlfn.IFS(M178&gt;59, "Pension Age", M178&gt;44, "Elderly (45+)", M178&gt;29, "Middle Age (30+)", M178&gt;22, "Adult (23+)", M178&gt;15, "Teen/Young Adult (16+)")</f>
        <v>Adult (23+)</v>
      </c>
      <c r="O178" s="3" t="s">
        <v>15</v>
      </c>
    </row>
    <row r="179" spans="1:15" x14ac:dyDescent="0.3">
      <c r="A179" s="4">
        <v>27304</v>
      </c>
      <c r="B179" s="3" t="s">
        <v>40</v>
      </c>
      <c r="C179" s="3" t="s">
        <v>41</v>
      </c>
      <c r="D179" s="11">
        <v>110000</v>
      </c>
      <c r="E179" s="9" t="str" cm="1">
        <f t="array" ref="E179">_xlfn.IFS(D179&gt;149000, "Very High", D179&gt;99000, "High", D179&gt;59999, "Average", D179&gt;19999, "Low", D179&gt;0, "Poverty")</f>
        <v>High</v>
      </c>
      <c r="F179" s="3">
        <v>2</v>
      </c>
      <c r="G179" t="s">
        <v>19</v>
      </c>
      <c r="H179" t="s">
        <v>21</v>
      </c>
      <c r="I179" s="3" t="s">
        <v>18</v>
      </c>
      <c r="J179" s="3">
        <v>3</v>
      </c>
      <c r="K179" t="s">
        <v>23</v>
      </c>
      <c r="L179" t="s">
        <v>17</v>
      </c>
      <c r="M179" s="3">
        <v>48</v>
      </c>
      <c r="N179" s="3" t="str" cm="1">
        <f t="array" ref="N179">_xlfn.IFS(M179&gt;59, "Pension Age", M179&gt;44, "Elderly (45+)", M179&gt;29, "Middle Age (30+)", M179&gt;22, "Adult (23+)", M179&gt;15, "Teen/Young Adult (16+)")</f>
        <v>Elderly (45+)</v>
      </c>
      <c r="O179" s="3" t="s">
        <v>18</v>
      </c>
    </row>
    <row r="180" spans="1:15" x14ac:dyDescent="0.3">
      <c r="A180" s="4">
        <v>14191</v>
      </c>
      <c r="B180" s="3" t="s">
        <v>39</v>
      </c>
      <c r="C180" s="3" t="s">
        <v>42</v>
      </c>
      <c r="D180" s="11">
        <v>160000</v>
      </c>
      <c r="E180" s="9" t="str" cm="1">
        <f t="array" ref="E180">_xlfn.IFS(D180&gt;149000, "Very High", D180&gt;99000, "High", D180&gt;59999, "Average", D180&gt;19999, "Low", D180&gt;0, "Poverty")</f>
        <v>Very High</v>
      </c>
      <c r="F180" s="3">
        <v>4</v>
      </c>
      <c r="G180" t="s">
        <v>19</v>
      </c>
      <c r="H180" t="s">
        <v>21</v>
      </c>
      <c r="I180" s="3" t="s">
        <v>18</v>
      </c>
      <c r="J180" s="3">
        <v>2</v>
      </c>
      <c r="K180" t="s">
        <v>30</v>
      </c>
      <c r="L180" t="s">
        <v>17</v>
      </c>
      <c r="M180" s="3">
        <v>55</v>
      </c>
      <c r="N180" s="3" t="str" cm="1">
        <f t="array" ref="N180">_xlfn.IFS(M180&gt;59, "Pension Age", M180&gt;44, "Elderly (45+)", M180&gt;29, "Middle Age (30+)", M180&gt;22, "Adult (23+)", M180&gt;15, "Teen/Young Adult (16+)")</f>
        <v>Elderly (45+)</v>
      </c>
      <c r="O180" s="3" t="s">
        <v>15</v>
      </c>
    </row>
    <row r="181" spans="1:15" x14ac:dyDescent="0.3">
      <c r="A181" s="4">
        <v>12212</v>
      </c>
      <c r="B181" s="3" t="s">
        <v>39</v>
      </c>
      <c r="C181" s="3" t="s">
        <v>41</v>
      </c>
      <c r="D181" s="11">
        <v>10000</v>
      </c>
      <c r="E181" s="9" t="str" cm="1">
        <f t="array" ref="E181">_xlfn.IFS(D181&gt;149000, "Very High", D181&gt;99000, "High", D181&gt;59999, "Average", D181&gt;19999, "Low", D181&gt;0, "Poverty")</f>
        <v>Poverty</v>
      </c>
      <c r="F181" s="3">
        <v>0</v>
      </c>
      <c r="G181" t="s">
        <v>31</v>
      </c>
      <c r="H181" t="s">
        <v>25</v>
      </c>
      <c r="I181" s="3" t="s">
        <v>15</v>
      </c>
      <c r="J181" s="3">
        <v>0</v>
      </c>
      <c r="K181" t="s">
        <v>16</v>
      </c>
      <c r="L181" t="s">
        <v>17</v>
      </c>
      <c r="M181" s="3">
        <v>37</v>
      </c>
      <c r="N181" s="3" t="str" cm="1">
        <f t="array" ref="N181">_xlfn.IFS(M181&gt;59, "Pension Age", M181&gt;44, "Elderly (45+)", M181&gt;29, "Middle Age (30+)", M181&gt;22, "Adult (23+)", M181&gt;15, "Teen/Young Adult (16+)")</f>
        <v>Middle Age (30+)</v>
      </c>
      <c r="O181" s="3" t="s">
        <v>15</v>
      </c>
    </row>
    <row r="182" spans="1:15" x14ac:dyDescent="0.3">
      <c r="A182" s="4">
        <v>25529</v>
      </c>
      <c r="B182" s="3" t="s">
        <v>40</v>
      </c>
      <c r="C182" s="3" t="s">
        <v>42</v>
      </c>
      <c r="D182" s="11">
        <v>10000</v>
      </c>
      <c r="E182" s="9" t="str" cm="1">
        <f t="array" ref="E182">_xlfn.IFS(D182&gt;149000, "Very High", D182&gt;99000, "High", D182&gt;59999, "Average", D182&gt;19999, "Low", D182&gt;0, "Poverty")</f>
        <v>Poverty</v>
      </c>
      <c r="F182" s="3">
        <v>1</v>
      </c>
      <c r="G182" t="s">
        <v>31</v>
      </c>
      <c r="H182" t="s">
        <v>25</v>
      </c>
      <c r="I182" s="3" t="s">
        <v>15</v>
      </c>
      <c r="J182" s="3">
        <v>0</v>
      </c>
      <c r="K182" t="s">
        <v>16</v>
      </c>
      <c r="L182" t="s">
        <v>17</v>
      </c>
      <c r="M182" s="3">
        <v>44</v>
      </c>
      <c r="N182" s="3" t="str" cm="1">
        <f t="array" ref="N182">_xlfn.IFS(M182&gt;59, "Pension Age", M182&gt;44, "Elderly (45+)", M182&gt;29, "Middle Age (30+)", M182&gt;22, "Adult (23+)", M182&gt;15, "Teen/Young Adult (16+)")</f>
        <v>Middle Age (30+)</v>
      </c>
      <c r="O182" s="3" t="s">
        <v>18</v>
      </c>
    </row>
    <row r="183" spans="1:15" x14ac:dyDescent="0.3">
      <c r="A183" s="4">
        <v>22170</v>
      </c>
      <c r="B183" s="3" t="s">
        <v>39</v>
      </c>
      <c r="C183" s="3" t="s">
        <v>41</v>
      </c>
      <c r="D183" s="11">
        <v>30000</v>
      </c>
      <c r="E183" s="9" t="str" cm="1">
        <f t="array" ref="E183">_xlfn.IFS(D183&gt;149000, "Very High", D183&gt;99000, "High", D183&gt;59999, "Average", D183&gt;19999, "Low", D183&gt;0, "Poverty")</f>
        <v>Low</v>
      </c>
      <c r="F183" s="3">
        <v>3</v>
      </c>
      <c r="G183" t="s">
        <v>19</v>
      </c>
      <c r="H183" t="s">
        <v>20</v>
      </c>
      <c r="I183" s="3" t="s">
        <v>18</v>
      </c>
      <c r="J183" s="3">
        <v>2</v>
      </c>
      <c r="K183" t="s">
        <v>26</v>
      </c>
      <c r="L183" t="s">
        <v>24</v>
      </c>
      <c r="M183" s="3">
        <v>55</v>
      </c>
      <c r="N183" s="3" t="str" cm="1">
        <f t="array" ref="N183">_xlfn.IFS(M183&gt;59, "Pension Age", M183&gt;44, "Elderly (45+)", M183&gt;29, "Middle Age (30+)", M183&gt;22, "Adult (23+)", M183&gt;15, "Teen/Young Adult (16+)")</f>
        <v>Elderly (45+)</v>
      </c>
      <c r="O183" s="3" t="s">
        <v>15</v>
      </c>
    </row>
    <row r="184" spans="1:15" x14ac:dyDescent="0.3">
      <c r="A184" s="4">
        <v>19445</v>
      </c>
      <c r="B184" s="3" t="s">
        <v>39</v>
      </c>
      <c r="C184" s="3" t="s">
        <v>41</v>
      </c>
      <c r="D184" s="11">
        <v>10000</v>
      </c>
      <c r="E184" s="9" t="str" cm="1">
        <f t="array" ref="E184">_xlfn.IFS(D184&gt;149000, "Very High", D184&gt;99000, "High", D184&gt;59999, "Average", D184&gt;19999, "Low", D184&gt;0, "Poverty")</f>
        <v>Poverty</v>
      </c>
      <c r="F184" s="3">
        <v>2</v>
      </c>
      <c r="G184" t="s">
        <v>27</v>
      </c>
      <c r="H184" t="s">
        <v>25</v>
      </c>
      <c r="I184" s="3" t="s">
        <v>18</v>
      </c>
      <c r="J184" s="3">
        <v>1</v>
      </c>
      <c r="K184" t="s">
        <v>16</v>
      </c>
      <c r="L184" t="s">
        <v>17</v>
      </c>
      <c r="M184" s="3">
        <v>38</v>
      </c>
      <c r="N184" s="3" t="str" cm="1">
        <f t="array" ref="N184">_xlfn.IFS(M184&gt;59, "Pension Age", M184&gt;44, "Elderly (45+)", M184&gt;29, "Middle Age (30+)", M184&gt;22, "Adult (23+)", M184&gt;15, "Teen/Young Adult (16+)")</f>
        <v>Middle Age (30+)</v>
      </c>
      <c r="O184" s="3" t="s">
        <v>18</v>
      </c>
    </row>
    <row r="185" spans="1:15" x14ac:dyDescent="0.3">
      <c r="A185" s="4">
        <v>15265</v>
      </c>
      <c r="B185" s="3" t="s">
        <v>40</v>
      </c>
      <c r="C185" s="3" t="s">
        <v>42</v>
      </c>
      <c r="D185" s="11">
        <v>40000</v>
      </c>
      <c r="E185" s="9" t="str" cm="1">
        <f t="array" ref="E185">_xlfn.IFS(D185&gt;149000, "Very High", D185&gt;99000, "High", D185&gt;59999, "Average", D185&gt;19999, "Low", D185&gt;0, "Poverty")</f>
        <v>Low</v>
      </c>
      <c r="F185" s="3">
        <v>2</v>
      </c>
      <c r="G185" t="s">
        <v>13</v>
      </c>
      <c r="H185" t="s">
        <v>28</v>
      </c>
      <c r="I185" s="3" t="s">
        <v>15</v>
      </c>
      <c r="J185" s="3">
        <v>2</v>
      </c>
      <c r="K185" t="s">
        <v>23</v>
      </c>
      <c r="L185" t="s">
        <v>24</v>
      </c>
      <c r="M185" s="3">
        <v>66</v>
      </c>
      <c r="N185" s="3" t="str" cm="1">
        <f t="array" ref="N185">_xlfn.IFS(M185&gt;59, "Pension Age", M185&gt;44, "Elderly (45+)", M185&gt;29, "Middle Age (30+)", M185&gt;22, "Adult (23+)", M185&gt;15, "Teen/Young Adult (16+)")</f>
        <v>Pension Age</v>
      </c>
      <c r="O185" s="3" t="s">
        <v>15</v>
      </c>
    </row>
    <row r="186" spans="1:15" x14ac:dyDescent="0.3">
      <c r="A186" s="4">
        <v>28918</v>
      </c>
      <c r="B186" s="3" t="s">
        <v>39</v>
      </c>
      <c r="C186" s="3" t="s">
        <v>41</v>
      </c>
      <c r="D186" s="11">
        <v>130000</v>
      </c>
      <c r="E186" s="9" t="str" cm="1">
        <f t="array" ref="E186">_xlfn.IFS(D186&gt;149000, "Very High", D186&gt;99000, "High", D186&gt;59999, "Average", D186&gt;19999, "Low", D186&gt;0, "Poverty")</f>
        <v>High</v>
      </c>
      <c r="F186" s="3">
        <v>4</v>
      </c>
      <c r="G186" t="s">
        <v>27</v>
      </c>
      <c r="H186" t="s">
        <v>28</v>
      </c>
      <c r="I186" s="3" t="s">
        <v>18</v>
      </c>
      <c r="J186" s="3">
        <v>4</v>
      </c>
      <c r="K186" t="s">
        <v>30</v>
      </c>
      <c r="L186" t="s">
        <v>17</v>
      </c>
      <c r="M186" s="3">
        <v>58</v>
      </c>
      <c r="N186" s="3" t="str" cm="1">
        <f t="array" ref="N186">_xlfn.IFS(M186&gt;59, "Pension Age", M186&gt;44, "Elderly (45+)", M186&gt;29, "Middle Age (30+)", M186&gt;22, "Adult (23+)", M186&gt;15, "Teen/Young Adult (16+)")</f>
        <v>Elderly (45+)</v>
      </c>
      <c r="O186" s="3" t="s">
        <v>18</v>
      </c>
    </row>
    <row r="187" spans="1:15" x14ac:dyDescent="0.3">
      <c r="A187" s="4">
        <v>15799</v>
      </c>
      <c r="B187" s="3" t="s">
        <v>39</v>
      </c>
      <c r="C187" s="3" t="s">
        <v>41</v>
      </c>
      <c r="D187" s="11">
        <v>90000</v>
      </c>
      <c r="E187" s="9" t="str" cm="1">
        <f t="array" ref="E187">_xlfn.IFS(D187&gt;149000, "Very High", D187&gt;99000, "High", D187&gt;59999, "Average", D187&gt;19999, "Low", D187&gt;0, "Poverty")</f>
        <v>Average</v>
      </c>
      <c r="F187" s="3">
        <v>1</v>
      </c>
      <c r="G187" t="s">
        <v>13</v>
      </c>
      <c r="H187" t="s">
        <v>21</v>
      </c>
      <c r="I187" s="3" t="s">
        <v>15</v>
      </c>
      <c r="J187" s="3">
        <v>1</v>
      </c>
      <c r="K187" t="s">
        <v>22</v>
      </c>
      <c r="L187" t="s">
        <v>24</v>
      </c>
      <c r="M187" s="3">
        <v>47</v>
      </c>
      <c r="N187" s="3" t="str" cm="1">
        <f t="array" ref="N187">_xlfn.IFS(M187&gt;59, "Pension Age", M187&gt;44, "Elderly (45+)", M187&gt;29, "Middle Age (30+)", M187&gt;22, "Adult (23+)", M187&gt;15, "Teen/Young Adult (16+)")</f>
        <v>Elderly (45+)</v>
      </c>
      <c r="O187" s="3" t="s">
        <v>15</v>
      </c>
    </row>
    <row r="188" spans="1:15" x14ac:dyDescent="0.3">
      <c r="A188" s="4">
        <v>11047</v>
      </c>
      <c r="B188" s="3" t="s">
        <v>39</v>
      </c>
      <c r="C188" s="3" t="s">
        <v>41</v>
      </c>
      <c r="D188" s="11">
        <v>30000</v>
      </c>
      <c r="E188" s="9" t="str" cm="1">
        <f t="array" ref="E188">_xlfn.IFS(D188&gt;149000, "Very High", D188&gt;99000, "High", D188&gt;59999, "Average", D188&gt;19999, "Low", D188&gt;0, "Poverty")</f>
        <v>Low</v>
      </c>
      <c r="F188" s="3">
        <v>3</v>
      </c>
      <c r="G188" t="s">
        <v>27</v>
      </c>
      <c r="H188" t="s">
        <v>14</v>
      </c>
      <c r="I188" s="3" t="s">
        <v>18</v>
      </c>
      <c r="J188" s="3">
        <v>2</v>
      </c>
      <c r="K188" t="s">
        <v>26</v>
      </c>
      <c r="L188" t="s">
        <v>24</v>
      </c>
      <c r="M188" s="3">
        <v>56</v>
      </c>
      <c r="N188" s="3" t="str" cm="1">
        <f t="array" ref="N188">_xlfn.IFS(M188&gt;59, "Pension Age", M188&gt;44, "Elderly (45+)", M188&gt;29, "Middle Age (30+)", M188&gt;22, "Adult (23+)", M188&gt;15, "Teen/Young Adult (16+)")</f>
        <v>Elderly (45+)</v>
      </c>
      <c r="O188" s="3" t="s">
        <v>15</v>
      </c>
    </row>
    <row r="189" spans="1:15" x14ac:dyDescent="0.3">
      <c r="A189" s="4">
        <v>18151</v>
      </c>
      <c r="B189" s="3" t="s">
        <v>40</v>
      </c>
      <c r="C189" s="3" t="s">
        <v>42</v>
      </c>
      <c r="D189" s="11">
        <v>80000</v>
      </c>
      <c r="E189" s="9" t="str" cm="1">
        <f t="array" ref="E189">_xlfn.IFS(D189&gt;149000, "Very High", D189&gt;99000, "High", D189&gt;59999, "Average", D189&gt;19999, "Low", D189&gt;0, "Poverty")</f>
        <v>Average</v>
      </c>
      <c r="F189" s="3">
        <v>5</v>
      </c>
      <c r="G189" t="s">
        <v>19</v>
      </c>
      <c r="H189" t="s">
        <v>21</v>
      </c>
      <c r="I189" s="3" t="s">
        <v>18</v>
      </c>
      <c r="J189" s="3">
        <v>2</v>
      </c>
      <c r="K189" t="s">
        <v>30</v>
      </c>
      <c r="L189" t="s">
        <v>17</v>
      </c>
      <c r="M189" s="3">
        <v>59</v>
      </c>
      <c r="N189" s="3" t="str" cm="1">
        <f t="array" ref="N189">_xlfn.IFS(M189&gt;59, "Pension Age", M189&gt;44, "Elderly (45+)", M189&gt;29, "Middle Age (30+)", M189&gt;22, "Adult (23+)", M189&gt;15, "Teen/Young Adult (16+)")</f>
        <v>Elderly (45+)</v>
      </c>
      <c r="O189" s="3" t="s">
        <v>18</v>
      </c>
    </row>
    <row r="190" spans="1:15" x14ac:dyDescent="0.3">
      <c r="A190" s="4">
        <v>20606</v>
      </c>
      <c r="B190" s="3" t="s">
        <v>39</v>
      </c>
      <c r="C190" s="3" t="s">
        <v>41</v>
      </c>
      <c r="D190" s="11">
        <v>70000</v>
      </c>
      <c r="E190" s="9" t="str" cm="1">
        <f t="array" ref="E190">_xlfn.IFS(D190&gt;149000, "Very High", D190&gt;99000, "High", D190&gt;59999, "Average", D190&gt;19999, "Low", D190&gt;0, "Poverty")</f>
        <v>Average</v>
      </c>
      <c r="F190" s="3">
        <v>0</v>
      </c>
      <c r="G190" t="s">
        <v>13</v>
      </c>
      <c r="H190" t="s">
        <v>21</v>
      </c>
      <c r="I190" s="3" t="s">
        <v>15</v>
      </c>
      <c r="J190" s="3">
        <v>4</v>
      </c>
      <c r="K190" t="s">
        <v>30</v>
      </c>
      <c r="L190" t="s">
        <v>24</v>
      </c>
      <c r="M190" s="3">
        <v>32</v>
      </c>
      <c r="N190" s="3" t="str" cm="1">
        <f t="array" ref="N190">_xlfn.IFS(M190&gt;59, "Pension Age", M190&gt;44, "Elderly (45+)", M190&gt;29, "Middle Age (30+)", M190&gt;22, "Adult (23+)", M190&gt;15, "Teen/Young Adult (16+)")</f>
        <v>Middle Age (30+)</v>
      </c>
      <c r="O190" s="3" t="s">
        <v>15</v>
      </c>
    </row>
    <row r="191" spans="1:15" x14ac:dyDescent="0.3">
      <c r="A191" s="4">
        <v>19482</v>
      </c>
      <c r="B191" s="3" t="s">
        <v>39</v>
      </c>
      <c r="C191" s="3" t="s">
        <v>42</v>
      </c>
      <c r="D191" s="11">
        <v>30000</v>
      </c>
      <c r="E191" s="9" t="str" cm="1">
        <f t="array" ref="E191">_xlfn.IFS(D191&gt;149000, "Very High", D191&gt;99000, "High", D191&gt;59999, "Average", D191&gt;19999, "Low", D191&gt;0, "Poverty")</f>
        <v>Low</v>
      </c>
      <c r="F191" s="3">
        <v>1</v>
      </c>
      <c r="G191" t="s">
        <v>19</v>
      </c>
      <c r="H191" t="s">
        <v>20</v>
      </c>
      <c r="I191" s="3" t="s">
        <v>15</v>
      </c>
      <c r="J191" s="3">
        <v>1</v>
      </c>
      <c r="K191" t="s">
        <v>16</v>
      </c>
      <c r="L191" t="s">
        <v>17</v>
      </c>
      <c r="M191" s="3">
        <v>44</v>
      </c>
      <c r="N191" s="3" t="str" cm="1">
        <f t="array" ref="N191">_xlfn.IFS(M191&gt;59, "Pension Age", M191&gt;44, "Elderly (45+)", M191&gt;29, "Middle Age (30+)", M191&gt;22, "Adult (23+)", M191&gt;15, "Teen/Young Adult (16+)")</f>
        <v>Middle Age (30+)</v>
      </c>
      <c r="O191" s="3" t="s">
        <v>15</v>
      </c>
    </row>
    <row r="192" spans="1:15" x14ac:dyDescent="0.3">
      <c r="A192" s="4">
        <v>16489</v>
      </c>
      <c r="B192" s="3" t="s">
        <v>39</v>
      </c>
      <c r="C192" s="3" t="s">
        <v>42</v>
      </c>
      <c r="D192" s="11">
        <v>30000</v>
      </c>
      <c r="E192" s="9" t="str" cm="1">
        <f t="array" ref="E192">_xlfn.IFS(D192&gt;149000, "Very High", D192&gt;99000, "High", D192&gt;59999, "Average", D192&gt;19999, "Low", D192&gt;0, "Poverty")</f>
        <v>Low</v>
      </c>
      <c r="F192" s="3">
        <v>3</v>
      </c>
      <c r="G192" t="s">
        <v>27</v>
      </c>
      <c r="H192" t="s">
        <v>14</v>
      </c>
      <c r="I192" s="3" t="s">
        <v>15</v>
      </c>
      <c r="J192" s="3">
        <v>2</v>
      </c>
      <c r="K192" t="s">
        <v>23</v>
      </c>
      <c r="L192" t="s">
        <v>24</v>
      </c>
      <c r="M192" s="3">
        <v>55</v>
      </c>
      <c r="N192" s="3" t="str" cm="1">
        <f t="array" ref="N192">_xlfn.IFS(M192&gt;59, "Pension Age", M192&gt;44, "Elderly (45+)", M192&gt;29, "Middle Age (30+)", M192&gt;22, "Adult (23+)", M192&gt;15, "Teen/Young Adult (16+)")</f>
        <v>Elderly (45+)</v>
      </c>
      <c r="O192" s="3" t="s">
        <v>18</v>
      </c>
    </row>
    <row r="193" spans="1:15" x14ac:dyDescent="0.3">
      <c r="A193" s="4">
        <v>26944</v>
      </c>
      <c r="B193" s="3" t="s">
        <v>40</v>
      </c>
      <c r="C193" s="3" t="s">
        <v>42</v>
      </c>
      <c r="D193" s="11">
        <v>90000</v>
      </c>
      <c r="E193" s="9" t="str" cm="1">
        <f t="array" ref="E193">_xlfn.IFS(D193&gt;149000, "Very High", D193&gt;99000, "High", D193&gt;59999, "Average", D193&gt;19999, "Low", D193&gt;0, "Poverty")</f>
        <v>Average</v>
      </c>
      <c r="F193" s="3">
        <v>2</v>
      </c>
      <c r="G193" t="s">
        <v>27</v>
      </c>
      <c r="H193" t="s">
        <v>25</v>
      </c>
      <c r="I193" s="3" t="s">
        <v>15</v>
      </c>
      <c r="J193" s="3">
        <v>0</v>
      </c>
      <c r="K193" t="s">
        <v>16</v>
      </c>
      <c r="L193" t="s">
        <v>17</v>
      </c>
      <c r="M193" s="3">
        <v>36</v>
      </c>
      <c r="N193" s="3" t="str" cm="1">
        <f t="array" ref="N193">_xlfn.IFS(M193&gt;59, "Pension Age", M193&gt;44, "Elderly (45+)", M193&gt;29, "Middle Age (30+)", M193&gt;22, "Adult (23+)", M193&gt;15, "Teen/Young Adult (16+)")</f>
        <v>Middle Age (30+)</v>
      </c>
      <c r="O193" s="3" t="s">
        <v>15</v>
      </c>
    </row>
    <row r="194" spans="1:15" x14ac:dyDescent="0.3">
      <c r="A194" s="4">
        <v>15682</v>
      </c>
      <c r="B194" s="3" t="s">
        <v>40</v>
      </c>
      <c r="C194" s="3" t="s">
        <v>41</v>
      </c>
      <c r="D194" s="11">
        <v>80000</v>
      </c>
      <c r="E194" s="9" t="str" cm="1">
        <f t="array" ref="E194">_xlfn.IFS(D194&gt;149000, "Very High", D194&gt;99000, "High", D194&gt;59999, "Average", D194&gt;19999, "Low", D194&gt;0, "Poverty")</f>
        <v>Average</v>
      </c>
      <c r="F194" s="3">
        <v>5</v>
      </c>
      <c r="G194" t="s">
        <v>13</v>
      </c>
      <c r="H194" t="s">
        <v>28</v>
      </c>
      <c r="I194" s="3" t="s">
        <v>15</v>
      </c>
      <c r="J194" s="3">
        <v>2</v>
      </c>
      <c r="K194" t="s">
        <v>30</v>
      </c>
      <c r="L194" t="s">
        <v>17</v>
      </c>
      <c r="M194" s="3">
        <v>62</v>
      </c>
      <c r="N194" s="3" t="str" cm="1">
        <f t="array" ref="N194">_xlfn.IFS(M194&gt;59, "Pension Age", M194&gt;44, "Elderly (45+)", M194&gt;29, "Middle Age (30+)", M194&gt;22, "Adult (23+)", M194&gt;15, "Teen/Young Adult (16+)")</f>
        <v>Pension Age</v>
      </c>
      <c r="O194" s="3" t="s">
        <v>18</v>
      </c>
    </row>
    <row r="195" spans="1:15" x14ac:dyDescent="0.3">
      <c r="A195" s="4">
        <v>26032</v>
      </c>
      <c r="B195" s="3" t="s">
        <v>39</v>
      </c>
      <c r="C195" s="3" t="s">
        <v>41</v>
      </c>
      <c r="D195" s="11">
        <v>70000</v>
      </c>
      <c r="E195" s="9" t="str" cm="1">
        <f t="array" ref="E195">_xlfn.IFS(D195&gt;149000, "Very High", D195&gt;99000, "High", D195&gt;59999, "Average", D195&gt;19999, "Low", D195&gt;0, "Poverty")</f>
        <v>Average</v>
      </c>
      <c r="F195" s="3">
        <v>5</v>
      </c>
      <c r="G195" t="s">
        <v>13</v>
      </c>
      <c r="H195" t="s">
        <v>21</v>
      </c>
      <c r="I195" s="3" t="s">
        <v>15</v>
      </c>
      <c r="J195" s="3">
        <v>4</v>
      </c>
      <c r="K195" t="s">
        <v>30</v>
      </c>
      <c r="L195" t="s">
        <v>24</v>
      </c>
      <c r="M195" s="3">
        <v>41</v>
      </c>
      <c r="N195" s="3" t="str" cm="1">
        <f t="array" ref="N195">_xlfn.IFS(M195&gt;59, "Pension Age", M195&gt;44, "Elderly (45+)", M195&gt;29, "Middle Age (30+)", M195&gt;22, "Adult (23+)", M195&gt;15, "Teen/Young Adult (16+)")</f>
        <v>Middle Age (30+)</v>
      </c>
      <c r="O195" s="3" t="s">
        <v>18</v>
      </c>
    </row>
    <row r="196" spans="1:15" x14ac:dyDescent="0.3">
      <c r="A196" s="4">
        <v>17843</v>
      </c>
      <c r="B196" s="3" t="s">
        <v>40</v>
      </c>
      <c r="C196" s="3" t="s">
        <v>41</v>
      </c>
      <c r="D196" s="11">
        <v>10000</v>
      </c>
      <c r="E196" s="9" t="str" cm="1">
        <f t="array" ref="E196">_xlfn.IFS(D196&gt;149000, "Very High", D196&gt;99000, "High", D196&gt;59999, "Average", D196&gt;19999, "Low", D196&gt;0, "Poverty")</f>
        <v>Poverty</v>
      </c>
      <c r="F196" s="3">
        <v>0</v>
      </c>
      <c r="G196" t="s">
        <v>29</v>
      </c>
      <c r="H196" t="s">
        <v>25</v>
      </c>
      <c r="I196" s="3" t="s">
        <v>18</v>
      </c>
      <c r="J196" s="3">
        <v>2</v>
      </c>
      <c r="K196" t="s">
        <v>16</v>
      </c>
      <c r="L196" t="s">
        <v>17</v>
      </c>
      <c r="M196" s="3">
        <v>32</v>
      </c>
      <c r="N196" s="3" t="str" cm="1">
        <f t="array" ref="N196">_xlfn.IFS(M196&gt;59, "Pension Age", M196&gt;44, "Elderly (45+)", M196&gt;29, "Middle Age (30+)", M196&gt;22, "Adult (23+)", M196&gt;15, "Teen/Young Adult (16+)")</f>
        <v>Middle Age (30+)</v>
      </c>
      <c r="O196" s="3" t="s">
        <v>18</v>
      </c>
    </row>
    <row r="197" spans="1:15" x14ac:dyDescent="0.3">
      <c r="A197" s="4">
        <v>25559</v>
      </c>
      <c r="B197" s="3" t="s">
        <v>40</v>
      </c>
      <c r="C197" s="3" t="s">
        <v>42</v>
      </c>
      <c r="D197" s="11">
        <v>20000</v>
      </c>
      <c r="E197" s="9" t="str" cm="1">
        <f t="array" ref="E197">_xlfn.IFS(D197&gt;149000, "Very High", D197&gt;99000, "High", D197&gt;59999, "Average", D197&gt;19999, "Low", D197&gt;0, "Poverty")</f>
        <v>Low</v>
      </c>
      <c r="F197" s="3">
        <v>0</v>
      </c>
      <c r="G197" t="s">
        <v>13</v>
      </c>
      <c r="H197" t="s">
        <v>20</v>
      </c>
      <c r="I197" s="3" t="s">
        <v>15</v>
      </c>
      <c r="J197" s="3">
        <v>0</v>
      </c>
      <c r="K197" t="s">
        <v>16</v>
      </c>
      <c r="L197" t="s">
        <v>24</v>
      </c>
      <c r="M197" s="3">
        <v>25</v>
      </c>
      <c r="N197" s="3" t="str" cm="1">
        <f t="array" ref="N197">_xlfn.IFS(M197&gt;59, "Pension Age", M197&gt;44, "Elderly (45+)", M197&gt;29, "Middle Age (30+)", M197&gt;22, "Adult (23+)", M197&gt;15, "Teen/Young Adult (16+)")</f>
        <v>Adult (23+)</v>
      </c>
      <c r="O197" s="3" t="s">
        <v>15</v>
      </c>
    </row>
    <row r="198" spans="1:15" x14ac:dyDescent="0.3">
      <c r="A198" s="4">
        <v>16209</v>
      </c>
      <c r="B198" s="3" t="s">
        <v>40</v>
      </c>
      <c r="C198" s="3" t="s">
        <v>41</v>
      </c>
      <c r="D198" s="11">
        <v>50000</v>
      </c>
      <c r="E198" s="9" t="str" cm="1">
        <f t="array" ref="E198">_xlfn.IFS(D198&gt;149000, "Very High", D198&gt;99000, "High", D198&gt;59999, "Average", D198&gt;19999, "Low", D198&gt;0, "Poverty")</f>
        <v>Low</v>
      </c>
      <c r="F198" s="3">
        <v>0</v>
      </c>
      <c r="G198" t="s">
        <v>31</v>
      </c>
      <c r="H198" t="s">
        <v>14</v>
      </c>
      <c r="I198" s="3" t="s">
        <v>15</v>
      </c>
      <c r="J198" s="3">
        <v>0</v>
      </c>
      <c r="K198" t="s">
        <v>26</v>
      </c>
      <c r="L198" t="s">
        <v>17</v>
      </c>
      <c r="M198" s="3">
        <v>36</v>
      </c>
      <c r="N198" s="3" t="str" cm="1">
        <f t="array" ref="N198">_xlfn.IFS(M198&gt;59, "Pension Age", M198&gt;44, "Elderly (45+)", M198&gt;29, "Middle Age (30+)", M198&gt;22, "Adult (23+)", M198&gt;15, "Teen/Young Adult (16+)")</f>
        <v>Middle Age (30+)</v>
      </c>
      <c r="O198" s="3" t="s">
        <v>18</v>
      </c>
    </row>
    <row r="199" spans="1:15" x14ac:dyDescent="0.3">
      <c r="A199" s="4">
        <v>11147</v>
      </c>
      <c r="B199" s="3" t="s">
        <v>39</v>
      </c>
      <c r="C199" s="3" t="s">
        <v>42</v>
      </c>
      <c r="D199" s="11">
        <v>60000</v>
      </c>
      <c r="E199" s="9" t="str" cm="1">
        <f t="array" ref="E199">_xlfn.IFS(D199&gt;149000, "Very High", D199&gt;99000, "High", D199&gt;59999, "Average", D199&gt;19999, "Low", D199&gt;0, "Poverty")</f>
        <v>Average</v>
      </c>
      <c r="F199" s="3">
        <v>2</v>
      </c>
      <c r="G199" t="s">
        <v>31</v>
      </c>
      <c r="H199" t="s">
        <v>28</v>
      </c>
      <c r="I199" s="3" t="s">
        <v>15</v>
      </c>
      <c r="J199" s="3">
        <v>1</v>
      </c>
      <c r="K199" t="s">
        <v>16</v>
      </c>
      <c r="L199" t="s">
        <v>24</v>
      </c>
      <c r="M199" s="3">
        <v>67</v>
      </c>
      <c r="N199" s="3" t="str" cm="1">
        <f t="array" ref="N199">_xlfn.IFS(M199&gt;59, "Pension Age", M199&gt;44, "Elderly (45+)", M199&gt;29, "Middle Age (30+)", M199&gt;22, "Adult (23+)", M199&gt;15, "Teen/Young Adult (16+)")</f>
        <v>Pension Age</v>
      </c>
      <c r="O199" s="3" t="s">
        <v>15</v>
      </c>
    </row>
    <row r="200" spans="1:15" x14ac:dyDescent="0.3">
      <c r="A200" s="4">
        <v>15214</v>
      </c>
      <c r="B200" s="3" t="s">
        <v>40</v>
      </c>
      <c r="C200" s="3" t="s">
        <v>41</v>
      </c>
      <c r="D200" s="11">
        <v>100000</v>
      </c>
      <c r="E200" s="9" t="str" cm="1">
        <f t="array" ref="E200">_xlfn.IFS(D200&gt;149000, "Very High", D200&gt;99000, "High", D200&gt;59999, "Average", D200&gt;19999, "Low", D200&gt;0, "Poverty")</f>
        <v>High</v>
      </c>
      <c r="F200" s="3">
        <v>0</v>
      </c>
      <c r="G200" t="s">
        <v>31</v>
      </c>
      <c r="H200" t="s">
        <v>28</v>
      </c>
      <c r="I200" s="3" t="s">
        <v>18</v>
      </c>
      <c r="J200" s="3">
        <v>1</v>
      </c>
      <c r="K200" t="s">
        <v>26</v>
      </c>
      <c r="L200" t="s">
        <v>24</v>
      </c>
      <c r="M200" s="3">
        <v>39</v>
      </c>
      <c r="N200" s="3" t="str" cm="1">
        <f t="array" ref="N200">_xlfn.IFS(M200&gt;59, "Pension Age", M200&gt;44, "Elderly (45+)", M200&gt;29, "Middle Age (30+)", M200&gt;22, "Adult (23+)", M200&gt;15, "Teen/Young Adult (16+)")</f>
        <v>Middle Age (30+)</v>
      </c>
      <c r="O200" s="3" t="s">
        <v>15</v>
      </c>
    </row>
    <row r="201" spans="1:15" x14ac:dyDescent="0.3">
      <c r="A201" s="4">
        <v>11453</v>
      </c>
      <c r="B201" s="3" t="s">
        <v>40</v>
      </c>
      <c r="C201" s="3" t="s">
        <v>42</v>
      </c>
      <c r="D201" s="11">
        <v>80000</v>
      </c>
      <c r="E201" s="9" t="str" cm="1">
        <f t="array" ref="E201">_xlfn.IFS(D201&gt;149000, "Very High", D201&gt;99000, "High", D201&gt;59999, "Average", D201&gt;19999, "Low", D201&gt;0, "Poverty")</f>
        <v>Average</v>
      </c>
      <c r="F201" s="3">
        <v>0</v>
      </c>
      <c r="G201" t="s">
        <v>13</v>
      </c>
      <c r="H201" t="s">
        <v>21</v>
      </c>
      <c r="I201" s="3" t="s">
        <v>18</v>
      </c>
      <c r="J201" s="3">
        <v>3</v>
      </c>
      <c r="K201" t="s">
        <v>30</v>
      </c>
      <c r="L201" t="s">
        <v>24</v>
      </c>
      <c r="M201" s="3">
        <v>33</v>
      </c>
      <c r="N201" s="3" t="str" cm="1">
        <f t="array" ref="N201">_xlfn.IFS(M201&gt;59, "Pension Age", M201&gt;44, "Elderly (45+)", M201&gt;29, "Middle Age (30+)", M201&gt;22, "Adult (23+)", M201&gt;15, "Teen/Young Adult (16+)")</f>
        <v>Middle Age (30+)</v>
      </c>
      <c r="O201" s="3" t="s">
        <v>15</v>
      </c>
    </row>
    <row r="202" spans="1:15" x14ac:dyDescent="0.3">
      <c r="A202" s="4">
        <v>24584</v>
      </c>
      <c r="B202" s="3" t="s">
        <v>40</v>
      </c>
      <c r="C202" s="3" t="s">
        <v>42</v>
      </c>
      <c r="D202" s="11">
        <v>60000</v>
      </c>
      <c r="E202" s="9" t="str" cm="1">
        <f t="array" ref="E202">_xlfn.IFS(D202&gt;149000, "Very High", D202&gt;99000, "High", D202&gt;59999, "Average", D202&gt;19999, "Low", D202&gt;0, "Poverty")</f>
        <v>Average</v>
      </c>
      <c r="F202" s="3">
        <v>0</v>
      </c>
      <c r="G202" t="s">
        <v>13</v>
      </c>
      <c r="H202" t="s">
        <v>21</v>
      </c>
      <c r="I202" s="3" t="s">
        <v>18</v>
      </c>
      <c r="J202" s="3">
        <v>3</v>
      </c>
      <c r="K202" t="s">
        <v>22</v>
      </c>
      <c r="L202" t="s">
        <v>24</v>
      </c>
      <c r="M202" s="3">
        <v>31</v>
      </c>
      <c r="N202" s="3" t="str" cm="1">
        <f t="array" ref="N202">_xlfn.IFS(M202&gt;59, "Pension Age", M202&gt;44, "Elderly (45+)", M202&gt;29, "Middle Age (30+)", M202&gt;22, "Adult (23+)", M202&gt;15, "Teen/Young Adult (16+)")</f>
        <v>Middle Age (30+)</v>
      </c>
      <c r="O202" s="3" t="s">
        <v>18</v>
      </c>
    </row>
    <row r="203" spans="1:15" x14ac:dyDescent="0.3">
      <c r="A203" s="4">
        <v>12585</v>
      </c>
      <c r="B203" s="3" t="s">
        <v>39</v>
      </c>
      <c r="C203" s="3" t="s">
        <v>42</v>
      </c>
      <c r="D203" s="11">
        <v>10000</v>
      </c>
      <c r="E203" s="9" t="str" cm="1">
        <f t="array" ref="E203">_xlfn.IFS(D203&gt;149000, "Very High", D203&gt;99000, "High", D203&gt;59999, "Average", D203&gt;19999, "Low", D203&gt;0, "Poverty")</f>
        <v>Poverty</v>
      </c>
      <c r="F203" s="3">
        <v>1</v>
      </c>
      <c r="G203" t="s">
        <v>27</v>
      </c>
      <c r="H203" t="s">
        <v>25</v>
      </c>
      <c r="I203" s="3" t="s">
        <v>15</v>
      </c>
      <c r="J203" s="3">
        <v>0</v>
      </c>
      <c r="K203" t="s">
        <v>22</v>
      </c>
      <c r="L203" t="s">
        <v>24</v>
      </c>
      <c r="M203" s="3">
        <v>27</v>
      </c>
      <c r="N203" s="3" t="str" cm="1">
        <f t="array" ref="N203">_xlfn.IFS(M203&gt;59, "Pension Age", M203&gt;44, "Elderly (45+)", M203&gt;29, "Middle Age (30+)", M203&gt;22, "Adult (23+)", M203&gt;15, "Teen/Young Adult (16+)")</f>
        <v>Adult (23+)</v>
      </c>
      <c r="O203" s="3" t="s">
        <v>15</v>
      </c>
    </row>
    <row r="204" spans="1:15" x14ac:dyDescent="0.3">
      <c r="A204" s="4">
        <v>18626</v>
      </c>
      <c r="B204" s="3" t="s">
        <v>40</v>
      </c>
      <c r="C204" s="3" t="s">
        <v>42</v>
      </c>
      <c r="D204" s="11">
        <v>40000</v>
      </c>
      <c r="E204" s="9" t="str" cm="1">
        <f t="array" ref="E204">_xlfn.IFS(D204&gt;149000, "Very High", D204&gt;99000, "High", D204&gt;59999, "Average", D204&gt;19999, "Low", D204&gt;0, "Poverty")</f>
        <v>Low</v>
      </c>
      <c r="F204" s="3">
        <v>2</v>
      </c>
      <c r="G204" t="s">
        <v>19</v>
      </c>
      <c r="H204" t="s">
        <v>20</v>
      </c>
      <c r="I204" s="3" t="s">
        <v>15</v>
      </c>
      <c r="J204" s="3">
        <v>0</v>
      </c>
      <c r="K204" t="s">
        <v>26</v>
      </c>
      <c r="L204" t="s">
        <v>17</v>
      </c>
      <c r="M204" s="3">
        <v>33</v>
      </c>
      <c r="N204" s="3" t="str" cm="1">
        <f t="array" ref="N204">_xlfn.IFS(M204&gt;59, "Pension Age", M204&gt;44, "Elderly (45+)", M204&gt;29, "Middle Age (30+)", M204&gt;22, "Adult (23+)", M204&gt;15, "Teen/Young Adult (16+)")</f>
        <v>Middle Age (30+)</v>
      </c>
      <c r="O204" s="3" t="s">
        <v>15</v>
      </c>
    </row>
    <row r="205" spans="1:15" x14ac:dyDescent="0.3">
      <c r="A205" s="4">
        <v>29298</v>
      </c>
      <c r="B205" s="3" t="s">
        <v>40</v>
      </c>
      <c r="C205" s="3" t="s">
        <v>41</v>
      </c>
      <c r="D205" s="11">
        <v>60000</v>
      </c>
      <c r="E205" s="9" t="str" cm="1">
        <f t="array" ref="E205">_xlfn.IFS(D205&gt;149000, "Very High", D205&gt;99000, "High", D205&gt;59999, "Average", D205&gt;19999, "Low", D205&gt;0, "Poverty")</f>
        <v>Average</v>
      </c>
      <c r="F205" s="3">
        <v>1</v>
      </c>
      <c r="G205" t="s">
        <v>19</v>
      </c>
      <c r="H205" t="s">
        <v>14</v>
      </c>
      <c r="I205" s="3" t="s">
        <v>15</v>
      </c>
      <c r="J205" s="3">
        <v>1</v>
      </c>
      <c r="K205" t="s">
        <v>23</v>
      </c>
      <c r="L205" t="s">
        <v>24</v>
      </c>
      <c r="M205" s="3">
        <v>46</v>
      </c>
      <c r="N205" s="3" t="str" cm="1">
        <f t="array" ref="N205">_xlfn.IFS(M205&gt;59, "Pension Age", M205&gt;44, "Elderly (45+)", M205&gt;29, "Middle Age (30+)", M205&gt;22, "Adult (23+)", M205&gt;15, "Teen/Young Adult (16+)")</f>
        <v>Elderly (45+)</v>
      </c>
      <c r="O205" s="3" t="s">
        <v>15</v>
      </c>
    </row>
    <row r="206" spans="1:15" x14ac:dyDescent="0.3">
      <c r="A206" s="4">
        <v>24842</v>
      </c>
      <c r="B206" s="3" t="s">
        <v>40</v>
      </c>
      <c r="C206" s="3" t="s">
        <v>41</v>
      </c>
      <c r="D206" s="11">
        <v>90000</v>
      </c>
      <c r="E206" s="9" t="str" cm="1">
        <f t="array" ref="E206">_xlfn.IFS(D206&gt;149000, "Very High", D206&gt;99000, "High", D206&gt;59999, "Average", D206&gt;19999, "Low", D206&gt;0, "Poverty")</f>
        <v>Average</v>
      </c>
      <c r="F206" s="3">
        <v>3</v>
      </c>
      <c r="G206" t="s">
        <v>27</v>
      </c>
      <c r="H206" t="s">
        <v>21</v>
      </c>
      <c r="I206" s="3" t="s">
        <v>18</v>
      </c>
      <c r="J206" s="3">
        <v>1</v>
      </c>
      <c r="K206" t="s">
        <v>22</v>
      </c>
      <c r="L206" t="s">
        <v>17</v>
      </c>
      <c r="M206" s="3">
        <v>51</v>
      </c>
      <c r="N206" s="3" t="str" cm="1">
        <f t="array" ref="N206">_xlfn.IFS(M206&gt;59, "Pension Age", M206&gt;44, "Elderly (45+)", M206&gt;29, "Middle Age (30+)", M206&gt;22, "Adult (23+)", M206&gt;15, "Teen/Young Adult (16+)")</f>
        <v>Elderly (45+)</v>
      </c>
      <c r="O206" s="3" t="s">
        <v>18</v>
      </c>
    </row>
    <row r="207" spans="1:15" x14ac:dyDescent="0.3">
      <c r="A207" s="4">
        <v>15657</v>
      </c>
      <c r="B207" s="3" t="s">
        <v>39</v>
      </c>
      <c r="C207" s="3" t="s">
        <v>42</v>
      </c>
      <c r="D207" s="11">
        <v>30000</v>
      </c>
      <c r="E207" s="9" t="str" cm="1">
        <f t="array" ref="E207">_xlfn.IFS(D207&gt;149000, "Very High", D207&gt;99000, "High", D207&gt;59999, "Average", D207&gt;19999, "Low", D207&gt;0, "Poverty")</f>
        <v>Low</v>
      </c>
      <c r="F207" s="3">
        <v>3</v>
      </c>
      <c r="G207" t="s">
        <v>31</v>
      </c>
      <c r="H207" t="s">
        <v>20</v>
      </c>
      <c r="I207" s="3" t="s">
        <v>15</v>
      </c>
      <c r="J207" s="3">
        <v>0</v>
      </c>
      <c r="K207" t="s">
        <v>16</v>
      </c>
      <c r="L207" t="s">
        <v>17</v>
      </c>
      <c r="M207" s="3">
        <v>46</v>
      </c>
      <c r="N207" s="3" t="str" cm="1">
        <f t="array" ref="N207">_xlfn.IFS(M207&gt;59, "Pension Age", M207&gt;44, "Elderly (45+)", M207&gt;29, "Middle Age (30+)", M207&gt;22, "Adult (23+)", M207&gt;15, "Teen/Young Adult (16+)")</f>
        <v>Elderly (45+)</v>
      </c>
      <c r="O207" s="3" t="s">
        <v>15</v>
      </c>
    </row>
    <row r="208" spans="1:15" x14ac:dyDescent="0.3">
      <c r="A208" s="4">
        <v>11415</v>
      </c>
      <c r="B208" s="3" t="s">
        <v>40</v>
      </c>
      <c r="C208" s="3" t="s">
        <v>42</v>
      </c>
      <c r="D208" s="11">
        <v>90000</v>
      </c>
      <c r="E208" s="9" t="str" cm="1">
        <f t="array" ref="E208">_xlfn.IFS(D208&gt;149000, "Very High", D208&gt;99000, "High", D208&gt;59999, "Average", D208&gt;19999, "Low", D208&gt;0, "Poverty")</f>
        <v>Average</v>
      </c>
      <c r="F208" s="3">
        <v>5</v>
      </c>
      <c r="G208" t="s">
        <v>19</v>
      </c>
      <c r="H208" t="s">
        <v>21</v>
      </c>
      <c r="I208" s="3" t="s">
        <v>18</v>
      </c>
      <c r="J208" s="3">
        <v>2</v>
      </c>
      <c r="K208" t="s">
        <v>30</v>
      </c>
      <c r="L208" t="s">
        <v>17</v>
      </c>
      <c r="M208" s="3">
        <v>62</v>
      </c>
      <c r="N208" s="3" t="str" cm="1">
        <f t="array" ref="N208">_xlfn.IFS(M208&gt;59, "Pension Age", M208&gt;44, "Elderly (45+)", M208&gt;29, "Middle Age (30+)", M208&gt;22, "Adult (23+)", M208&gt;15, "Teen/Young Adult (16+)")</f>
        <v>Pension Age</v>
      </c>
      <c r="O208" s="3" t="s">
        <v>18</v>
      </c>
    </row>
    <row r="209" spans="1:15" x14ac:dyDescent="0.3">
      <c r="A209" s="4">
        <v>28729</v>
      </c>
      <c r="B209" s="3" t="s">
        <v>40</v>
      </c>
      <c r="C209" s="3" t="s">
        <v>41</v>
      </c>
      <c r="D209" s="11">
        <v>20000</v>
      </c>
      <c r="E209" s="9" t="str" cm="1">
        <f t="array" ref="E209">_xlfn.IFS(D209&gt;149000, "Very High", D209&gt;99000, "High", D209&gt;59999, "Average", D209&gt;19999, "Low", D209&gt;0, "Poverty")</f>
        <v>Low</v>
      </c>
      <c r="F209" s="3">
        <v>0</v>
      </c>
      <c r="G209" t="s">
        <v>29</v>
      </c>
      <c r="H209" t="s">
        <v>25</v>
      </c>
      <c r="I209" s="3" t="s">
        <v>15</v>
      </c>
      <c r="J209" s="3">
        <v>2</v>
      </c>
      <c r="K209" t="s">
        <v>26</v>
      </c>
      <c r="L209" t="s">
        <v>17</v>
      </c>
      <c r="M209" s="3">
        <v>26</v>
      </c>
      <c r="N209" s="3" t="str" cm="1">
        <f t="array" ref="N209">_xlfn.IFS(M209&gt;59, "Pension Age", M209&gt;44, "Elderly (45+)", M209&gt;29, "Middle Age (30+)", M209&gt;22, "Adult (23+)", M209&gt;15, "Teen/Young Adult (16+)")</f>
        <v>Adult (23+)</v>
      </c>
      <c r="O209" s="3" t="s">
        <v>15</v>
      </c>
    </row>
    <row r="210" spans="1:15" x14ac:dyDescent="0.3">
      <c r="A210" s="4">
        <v>22633</v>
      </c>
      <c r="B210" s="3" t="s">
        <v>40</v>
      </c>
      <c r="C210" s="3" t="s">
        <v>41</v>
      </c>
      <c r="D210" s="11">
        <v>40000</v>
      </c>
      <c r="E210" s="9" t="str" cm="1">
        <f t="array" ref="E210">_xlfn.IFS(D210&gt;149000, "Very High", D210&gt;99000, "High", D210&gt;59999, "Average", D210&gt;19999, "Low", D210&gt;0, "Poverty")</f>
        <v>Low</v>
      </c>
      <c r="F210" s="3">
        <v>0</v>
      </c>
      <c r="G210" t="s">
        <v>31</v>
      </c>
      <c r="H210" t="s">
        <v>20</v>
      </c>
      <c r="I210" s="3" t="s">
        <v>15</v>
      </c>
      <c r="J210" s="3">
        <v>0</v>
      </c>
      <c r="K210" t="s">
        <v>16</v>
      </c>
      <c r="L210" t="s">
        <v>17</v>
      </c>
      <c r="M210" s="3">
        <v>37</v>
      </c>
      <c r="N210" s="3" t="str" cm="1">
        <f t="array" ref="N210">_xlfn.IFS(M210&gt;59, "Pension Age", M210&gt;44, "Elderly (45+)", M210&gt;29, "Middle Age (30+)", M210&gt;22, "Adult (23+)", M210&gt;15, "Teen/Young Adult (16+)")</f>
        <v>Middle Age (30+)</v>
      </c>
      <c r="O210" s="3" t="s">
        <v>15</v>
      </c>
    </row>
    <row r="211" spans="1:15" x14ac:dyDescent="0.3">
      <c r="A211" s="4">
        <v>25649</v>
      </c>
      <c r="B211" s="3" t="s">
        <v>40</v>
      </c>
      <c r="C211" s="3" t="s">
        <v>41</v>
      </c>
      <c r="D211" s="11">
        <v>30000</v>
      </c>
      <c r="E211" s="9" t="str" cm="1">
        <f t="array" ref="E211">_xlfn.IFS(D211&gt;149000, "Very High", D211&gt;99000, "High", D211&gt;59999, "Average", D211&gt;19999, "Low", D211&gt;0, "Poverty")</f>
        <v>Low</v>
      </c>
      <c r="F211" s="3">
        <v>3</v>
      </c>
      <c r="G211" t="s">
        <v>19</v>
      </c>
      <c r="H211" t="s">
        <v>20</v>
      </c>
      <c r="I211" s="3" t="s">
        <v>15</v>
      </c>
      <c r="J211" s="3">
        <v>0</v>
      </c>
      <c r="K211" t="s">
        <v>16</v>
      </c>
      <c r="L211" t="s">
        <v>17</v>
      </c>
      <c r="M211" s="3">
        <v>42</v>
      </c>
      <c r="N211" s="3" t="str" cm="1">
        <f t="array" ref="N211">_xlfn.IFS(M211&gt;59, "Pension Age", M211&gt;44, "Elderly (45+)", M211&gt;29, "Middle Age (30+)", M211&gt;22, "Adult (23+)", M211&gt;15, "Teen/Young Adult (16+)")</f>
        <v>Middle Age (30+)</v>
      </c>
      <c r="O211" s="3" t="s">
        <v>15</v>
      </c>
    </row>
    <row r="212" spans="1:15" x14ac:dyDescent="0.3">
      <c r="A212" s="4">
        <v>14669</v>
      </c>
      <c r="B212" s="3" t="s">
        <v>39</v>
      </c>
      <c r="C212" s="3" t="s">
        <v>41</v>
      </c>
      <c r="D212" s="11">
        <v>80000</v>
      </c>
      <c r="E212" s="9" t="str" cm="1">
        <f t="array" ref="E212">_xlfn.IFS(D212&gt;149000, "Very High", D212&gt;99000, "High", D212&gt;59999, "Average", D212&gt;19999, "Low", D212&gt;0, "Poverty")</f>
        <v>Average</v>
      </c>
      <c r="F212" s="3">
        <v>4</v>
      </c>
      <c r="G212" t="s">
        <v>31</v>
      </c>
      <c r="H212" t="s">
        <v>28</v>
      </c>
      <c r="I212" s="3" t="s">
        <v>15</v>
      </c>
      <c r="J212" s="3">
        <v>1</v>
      </c>
      <c r="K212" t="s">
        <v>16</v>
      </c>
      <c r="L212" t="s">
        <v>24</v>
      </c>
      <c r="M212" s="3">
        <v>36</v>
      </c>
      <c r="N212" s="3" t="str" cm="1">
        <f t="array" ref="N212">_xlfn.IFS(M212&gt;59, "Pension Age", M212&gt;44, "Elderly (45+)", M212&gt;29, "Middle Age (30+)", M212&gt;22, "Adult (23+)", M212&gt;15, "Teen/Young Adult (16+)")</f>
        <v>Middle Age (30+)</v>
      </c>
      <c r="O212" s="3" t="s">
        <v>18</v>
      </c>
    </row>
    <row r="213" spans="1:15" x14ac:dyDescent="0.3">
      <c r="A213" s="4">
        <v>19299</v>
      </c>
      <c r="B213" s="3" t="s">
        <v>39</v>
      </c>
      <c r="C213" s="3" t="s">
        <v>41</v>
      </c>
      <c r="D213" s="11">
        <v>50000</v>
      </c>
      <c r="E213" s="9" t="str" cm="1">
        <f t="array" ref="E213">_xlfn.IFS(D213&gt;149000, "Very High", D213&gt;99000, "High", D213&gt;59999, "Average", D213&gt;19999, "Low", D213&gt;0, "Poverty")</f>
        <v>Low</v>
      </c>
      <c r="F213" s="3">
        <v>0</v>
      </c>
      <c r="G213" t="s">
        <v>31</v>
      </c>
      <c r="H213" t="s">
        <v>14</v>
      </c>
      <c r="I213" s="3" t="s">
        <v>15</v>
      </c>
      <c r="J213" s="3">
        <v>0</v>
      </c>
      <c r="K213" t="s">
        <v>16</v>
      </c>
      <c r="L213" t="s">
        <v>17</v>
      </c>
      <c r="M213" s="3">
        <v>36</v>
      </c>
      <c r="N213" s="3" t="str" cm="1">
        <f t="array" ref="N213">_xlfn.IFS(M213&gt;59, "Pension Age", M213&gt;44, "Elderly (45+)", M213&gt;29, "Middle Age (30+)", M213&gt;22, "Adult (23+)", M213&gt;15, "Teen/Young Adult (16+)")</f>
        <v>Middle Age (30+)</v>
      </c>
      <c r="O213" s="3" t="s">
        <v>15</v>
      </c>
    </row>
    <row r="214" spans="1:15" x14ac:dyDescent="0.3">
      <c r="A214" s="4">
        <v>20946</v>
      </c>
      <c r="B214" s="3" t="s">
        <v>40</v>
      </c>
      <c r="C214" s="3" t="s">
        <v>41</v>
      </c>
      <c r="D214" s="11">
        <v>30000</v>
      </c>
      <c r="E214" s="9" t="str" cm="1">
        <f t="array" ref="E214">_xlfn.IFS(D214&gt;149000, "Very High", D214&gt;99000, "High", D214&gt;59999, "Average", D214&gt;19999, "Low", D214&gt;0, "Poverty")</f>
        <v>Low</v>
      </c>
      <c r="F214" s="3">
        <v>0</v>
      </c>
      <c r="G214" t="s">
        <v>19</v>
      </c>
      <c r="H214" t="s">
        <v>20</v>
      </c>
      <c r="I214" s="3" t="s">
        <v>18</v>
      </c>
      <c r="J214" s="3">
        <v>1</v>
      </c>
      <c r="K214" t="s">
        <v>22</v>
      </c>
      <c r="L214" t="s">
        <v>17</v>
      </c>
      <c r="M214" s="3">
        <v>30</v>
      </c>
      <c r="N214" s="3" t="str" cm="1">
        <f t="array" ref="N214">_xlfn.IFS(M214&gt;59, "Pension Age", M214&gt;44, "Elderly (45+)", M214&gt;29, "Middle Age (30+)", M214&gt;22, "Adult (23+)", M214&gt;15, "Teen/Young Adult (16+)")</f>
        <v>Middle Age (30+)</v>
      </c>
      <c r="O214" s="3" t="s">
        <v>18</v>
      </c>
    </row>
    <row r="215" spans="1:15" x14ac:dyDescent="0.3">
      <c r="A215" s="4">
        <v>11451</v>
      </c>
      <c r="B215" s="3" t="s">
        <v>40</v>
      </c>
      <c r="C215" s="3" t="s">
        <v>42</v>
      </c>
      <c r="D215" s="11">
        <v>70000</v>
      </c>
      <c r="E215" s="9" t="str" cm="1">
        <f t="array" ref="E215">_xlfn.IFS(D215&gt;149000, "Very High", D215&gt;99000, "High", D215&gt;59999, "Average", D215&gt;19999, "Low", D215&gt;0, "Poverty")</f>
        <v>Average</v>
      </c>
      <c r="F215" s="3">
        <v>0</v>
      </c>
      <c r="G215" t="s">
        <v>13</v>
      </c>
      <c r="H215" t="s">
        <v>21</v>
      </c>
      <c r="I215" s="3" t="s">
        <v>18</v>
      </c>
      <c r="J215" s="3">
        <v>4</v>
      </c>
      <c r="K215" t="s">
        <v>30</v>
      </c>
      <c r="L215" t="s">
        <v>24</v>
      </c>
      <c r="M215" s="3">
        <v>31</v>
      </c>
      <c r="N215" s="3" t="str" cm="1">
        <f t="array" ref="N215">_xlfn.IFS(M215&gt;59, "Pension Age", M215&gt;44, "Elderly (45+)", M215&gt;29, "Middle Age (30+)", M215&gt;22, "Adult (23+)", M215&gt;15, "Teen/Young Adult (16+)")</f>
        <v>Middle Age (30+)</v>
      </c>
      <c r="O215" s="3" t="s">
        <v>15</v>
      </c>
    </row>
    <row r="216" spans="1:15" x14ac:dyDescent="0.3">
      <c r="A216" s="4">
        <v>25553</v>
      </c>
      <c r="B216" s="3" t="s">
        <v>39</v>
      </c>
      <c r="C216" s="3" t="s">
        <v>42</v>
      </c>
      <c r="D216" s="11">
        <v>30000</v>
      </c>
      <c r="E216" s="9" t="str" cm="1">
        <f t="array" ref="E216">_xlfn.IFS(D216&gt;149000, "Very High", D216&gt;99000, "High", D216&gt;59999, "Average", D216&gt;19999, "Low", D216&gt;0, "Poverty")</f>
        <v>Low</v>
      </c>
      <c r="F216" s="3">
        <v>1</v>
      </c>
      <c r="G216" t="s">
        <v>13</v>
      </c>
      <c r="H216" t="s">
        <v>20</v>
      </c>
      <c r="I216" s="3" t="s">
        <v>15</v>
      </c>
      <c r="J216" s="3">
        <v>0</v>
      </c>
      <c r="K216" t="s">
        <v>16</v>
      </c>
      <c r="L216" t="s">
        <v>17</v>
      </c>
      <c r="M216" s="3">
        <v>65</v>
      </c>
      <c r="N216" s="3" t="str" cm="1">
        <f t="array" ref="N216">_xlfn.IFS(M216&gt;59, "Pension Age", M216&gt;44, "Elderly (45+)", M216&gt;29, "Middle Age (30+)", M216&gt;22, "Adult (23+)", M216&gt;15, "Teen/Young Adult (16+)")</f>
        <v>Pension Age</v>
      </c>
      <c r="O216" s="3" t="s">
        <v>15</v>
      </c>
    </row>
    <row r="217" spans="1:15" x14ac:dyDescent="0.3">
      <c r="A217" s="4">
        <v>27951</v>
      </c>
      <c r="B217" s="3" t="s">
        <v>40</v>
      </c>
      <c r="C217" s="3" t="s">
        <v>42</v>
      </c>
      <c r="D217" s="11">
        <v>80000</v>
      </c>
      <c r="E217" s="9" t="str" cm="1">
        <f t="array" ref="E217">_xlfn.IFS(D217&gt;149000, "Very High", D217&gt;99000, "High", D217&gt;59999, "Average", D217&gt;19999, "Low", D217&gt;0, "Poverty")</f>
        <v>Average</v>
      </c>
      <c r="F217" s="3">
        <v>4</v>
      </c>
      <c r="G217" t="s">
        <v>19</v>
      </c>
      <c r="H217" t="s">
        <v>21</v>
      </c>
      <c r="I217" s="3" t="s">
        <v>18</v>
      </c>
      <c r="J217" s="3">
        <v>2</v>
      </c>
      <c r="K217" t="s">
        <v>22</v>
      </c>
      <c r="L217" t="s">
        <v>17</v>
      </c>
      <c r="M217" s="3">
        <v>54</v>
      </c>
      <c r="N217" s="3" t="str" cm="1">
        <f t="array" ref="N217">_xlfn.IFS(M217&gt;59, "Pension Age", M217&gt;44, "Elderly (45+)", M217&gt;29, "Middle Age (30+)", M217&gt;22, "Adult (23+)", M217&gt;15, "Teen/Young Adult (16+)")</f>
        <v>Elderly (45+)</v>
      </c>
      <c r="O217" s="3" t="s">
        <v>15</v>
      </c>
    </row>
    <row r="218" spans="1:15" x14ac:dyDescent="0.3">
      <c r="A218" s="4">
        <v>25026</v>
      </c>
      <c r="B218" s="3" t="s">
        <v>39</v>
      </c>
      <c r="C218" s="3" t="s">
        <v>42</v>
      </c>
      <c r="D218" s="11">
        <v>20000</v>
      </c>
      <c r="E218" s="9" t="str" cm="1">
        <f t="array" ref="E218">_xlfn.IFS(D218&gt;149000, "Very High", D218&gt;99000, "High", D218&gt;59999, "Average", D218&gt;19999, "Low", D218&gt;0, "Poverty")</f>
        <v>Low</v>
      </c>
      <c r="F218" s="3">
        <v>2</v>
      </c>
      <c r="G218" t="s">
        <v>29</v>
      </c>
      <c r="H218" t="s">
        <v>20</v>
      </c>
      <c r="I218" s="3" t="s">
        <v>15</v>
      </c>
      <c r="J218" s="3">
        <v>3</v>
      </c>
      <c r="K218" t="s">
        <v>23</v>
      </c>
      <c r="L218" t="s">
        <v>24</v>
      </c>
      <c r="M218" s="3">
        <v>54</v>
      </c>
      <c r="N218" s="3" t="str" cm="1">
        <f t="array" ref="N218">_xlfn.IFS(M218&gt;59, "Pension Age", M218&gt;44, "Elderly (45+)", M218&gt;29, "Middle Age (30+)", M218&gt;22, "Adult (23+)", M218&gt;15, "Teen/Young Adult (16+)")</f>
        <v>Elderly (45+)</v>
      </c>
      <c r="O218" s="3" t="s">
        <v>18</v>
      </c>
    </row>
    <row r="219" spans="1:15" x14ac:dyDescent="0.3">
      <c r="A219" s="4">
        <v>13673</v>
      </c>
      <c r="B219" s="3" t="s">
        <v>40</v>
      </c>
      <c r="C219" s="3" t="s">
        <v>41</v>
      </c>
      <c r="D219" s="11">
        <v>20000</v>
      </c>
      <c r="E219" s="9" t="str" cm="1">
        <f t="array" ref="E219">_xlfn.IFS(D219&gt;149000, "Very High", D219&gt;99000, "High", D219&gt;59999, "Average", D219&gt;19999, "Low", D219&gt;0, "Poverty")</f>
        <v>Low</v>
      </c>
      <c r="F219" s="3">
        <v>0</v>
      </c>
      <c r="G219" t="s">
        <v>29</v>
      </c>
      <c r="H219" t="s">
        <v>25</v>
      </c>
      <c r="I219" s="3" t="s">
        <v>18</v>
      </c>
      <c r="J219" s="3">
        <v>2</v>
      </c>
      <c r="K219" t="s">
        <v>16</v>
      </c>
      <c r="L219" t="s">
        <v>17</v>
      </c>
      <c r="M219" s="3">
        <v>25</v>
      </c>
      <c r="N219" s="3" t="str" cm="1">
        <f t="array" ref="N219">_xlfn.IFS(M219&gt;59, "Pension Age", M219&gt;44, "Elderly (45+)", M219&gt;29, "Middle Age (30+)", M219&gt;22, "Adult (23+)", M219&gt;15, "Teen/Young Adult (16+)")</f>
        <v>Adult (23+)</v>
      </c>
      <c r="O219" s="3" t="s">
        <v>18</v>
      </c>
    </row>
    <row r="220" spans="1:15" x14ac:dyDescent="0.3">
      <c r="A220" s="4">
        <v>16043</v>
      </c>
      <c r="B220" s="3" t="s">
        <v>40</v>
      </c>
      <c r="C220" s="3" t="s">
        <v>42</v>
      </c>
      <c r="D220" s="11">
        <v>10000</v>
      </c>
      <c r="E220" s="9" t="str" cm="1">
        <f t="array" ref="E220">_xlfn.IFS(D220&gt;149000, "Very High", D220&gt;99000, "High", D220&gt;59999, "Average", D220&gt;19999, "Low", D220&gt;0, "Poverty")</f>
        <v>Poverty</v>
      </c>
      <c r="F220" s="3">
        <v>1</v>
      </c>
      <c r="G220" t="s">
        <v>13</v>
      </c>
      <c r="H220" t="s">
        <v>25</v>
      </c>
      <c r="I220" s="3" t="s">
        <v>15</v>
      </c>
      <c r="J220" s="3">
        <v>0</v>
      </c>
      <c r="K220" t="s">
        <v>16</v>
      </c>
      <c r="L220" t="s">
        <v>17</v>
      </c>
      <c r="M220" s="3">
        <v>48</v>
      </c>
      <c r="N220" s="3" t="str" cm="1">
        <f t="array" ref="N220">_xlfn.IFS(M220&gt;59, "Pension Age", M220&gt;44, "Elderly (45+)", M220&gt;29, "Middle Age (30+)", M220&gt;22, "Adult (23+)", M220&gt;15, "Teen/Young Adult (16+)")</f>
        <v>Elderly (45+)</v>
      </c>
      <c r="O220" s="3" t="s">
        <v>18</v>
      </c>
    </row>
    <row r="221" spans="1:15" x14ac:dyDescent="0.3">
      <c r="A221" s="4">
        <v>22399</v>
      </c>
      <c r="B221" s="3" t="s">
        <v>40</v>
      </c>
      <c r="C221" s="3" t="s">
        <v>42</v>
      </c>
      <c r="D221" s="11">
        <v>10000</v>
      </c>
      <c r="E221" s="9" t="str" cm="1">
        <f t="array" ref="E221">_xlfn.IFS(D221&gt;149000, "Very High", D221&gt;99000, "High", D221&gt;59999, "Average", D221&gt;19999, "Low", D221&gt;0, "Poverty")</f>
        <v>Poverty</v>
      </c>
      <c r="F221" s="3">
        <v>0</v>
      </c>
      <c r="G221" t="s">
        <v>19</v>
      </c>
      <c r="H221" t="s">
        <v>25</v>
      </c>
      <c r="I221" s="3" t="s">
        <v>15</v>
      </c>
      <c r="J221" s="3">
        <v>1</v>
      </c>
      <c r="K221" t="s">
        <v>26</v>
      </c>
      <c r="L221" t="s">
        <v>24</v>
      </c>
      <c r="M221" s="3">
        <v>26</v>
      </c>
      <c r="N221" s="3" t="str" cm="1">
        <f t="array" ref="N221">_xlfn.IFS(M221&gt;59, "Pension Age", M221&gt;44, "Elderly (45+)", M221&gt;29, "Middle Age (30+)", M221&gt;22, "Adult (23+)", M221&gt;15, "Teen/Young Adult (16+)")</f>
        <v>Adult (23+)</v>
      </c>
      <c r="O221" s="3" t="s">
        <v>15</v>
      </c>
    </row>
    <row r="222" spans="1:15" x14ac:dyDescent="0.3">
      <c r="A222" s="4">
        <v>27696</v>
      </c>
      <c r="B222" s="3" t="s">
        <v>39</v>
      </c>
      <c r="C222" s="3" t="s">
        <v>42</v>
      </c>
      <c r="D222" s="11">
        <v>60000</v>
      </c>
      <c r="E222" s="9" t="str" cm="1">
        <f t="array" ref="E222">_xlfn.IFS(D222&gt;149000, "Very High", D222&gt;99000, "High", D222&gt;59999, "Average", D222&gt;19999, "Low", D222&gt;0, "Poverty")</f>
        <v>Average</v>
      </c>
      <c r="F222" s="3">
        <v>1</v>
      </c>
      <c r="G222" t="s">
        <v>13</v>
      </c>
      <c r="H222" t="s">
        <v>21</v>
      </c>
      <c r="I222" s="3" t="s">
        <v>15</v>
      </c>
      <c r="J222" s="3">
        <v>1</v>
      </c>
      <c r="K222" t="s">
        <v>23</v>
      </c>
      <c r="L222" t="s">
        <v>24</v>
      </c>
      <c r="M222" s="3">
        <v>43</v>
      </c>
      <c r="N222" s="3" t="str" cm="1">
        <f t="array" ref="N222">_xlfn.IFS(M222&gt;59, "Pension Age", M222&gt;44, "Elderly (45+)", M222&gt;29, "Middle Age (30+)", M222&gt;22, "Adult (23+)", M222&gt;15, "Teen/Young Adult (16+)")</f>
        <v>Middle Age (30+)</v>
      </c>
      <c r="O222" s="3" t="s">
        <v>15</v>
      </c>
    </row>
    <row r="223" spans="1:15" x14ac:dyDescent="0.3">
      <c r="A223" s="4">
        <v>25313</v>
      </c>
      <c r="B223" s="3" t="s">
        <v>40</v>
      </c>
      <c r="C223" s="3" t="s">
        <v>42</v>
      </c>
      <c r="D223" s="11">
        <v>10000</v>
      </c>
      <c r="E223" s="9" t="str" cm="1">
        <f t="array" ref="E223">_xlfn.IFS(D223&gt;149000, "Very High", D223&gt;99000, "High", D223&gt;59999, "Average", D223&gt;19999, "Low", D223&gt;0, "Poverty")</f>
        <v>Poverty</v>
      </c>
      <c r="F223" s="3">
        <v>0</v>
      </c>
      <c r="G223" t="s">
        <v>29</v>
      </c>
      <c r="H223" t="s">
        <v>25</v>
      </c>
      <c r="I223" s="3" t="s">
        <v>18</v>
      </c>
      <c r="J223" s="3">
        <v>2</v>
      </c>
      <c r="K223" t="s">
        <v>26</v>
      </c>
      <c r="L223" t="s">
        <v>17</v>
      </c>
      <c r="M223" s="3">
        <v>35</v>
      </c>
      <c r="N223" s="3" t="str" cm="1">
        <f t="array" ref="N223">_xlfn.IFS(M223&gt;59, "Pension Age", M223&gt;44, "Elderly (45+)", M223&gt;29, "Middle Age (30+)", M223&gt;22, "Adult (23+)", M223&gt;15, "Teen/Young Adult (16+)")</f>
        <v>Middle Age (30+)</v>
      </c>
      <c r="O223" s="3" t="s">
        <v>18</v>
      </c>
    </row>
    <row r="224" spans="1:15" x14ac:dyDescent="0.3">
      <c r="A224" s="4">
        <v>13813</v>
      </c>
      <c r="B224" s="3" t="s">
        <v>39</v>
      </c>
      <c r="C224" s="3" t="s">
        <v>41</v>
      </c>
      <c r="D224" s="11">
        <v>30000</v>
      </c>
      <c r="E224" s="9" t="str" cm="1">
        <f t="array" ref="E224">_xlfn.IFS(D224&gt;149000, "Very High", D224&gt;99000, "High", D224&gt;59999, "Average", D224&gt;19999, "Low", D224&gt;0, "Poverty")</f>
        <v>Low</v>
      </c>
      <c r="F224" s="3">
        <v>3</v>
      </c>
      <c r="G224" t="s">
        <v>19</v>
      </c>
      <c r="H224" t="s">
        <v>20</v>
      </c>
      <c r="I224" s="3" t="s">
        <v>18</v>
      </c>
      <c r="J224" s="3">
        <v>0</v>
      </c>
      <c r="K224" t="s">
        <v>16</v>
      </c>
      <c r="L224" t="s">
        <v>17</v>
      </c>
      <c r="M224" s="3">
        <v>42</v>
      </c>
      <c r="N224" s="3" t="str" cm="1">
        <f t="array" ref="N224">_xlfn.IFS(M224&gt;59, "Pension Age", M224&gt;44, "Elderly (45+)", M224&gt;29, "Middle Age (30+)", M224&gt;22, "Adult (23+)", M224&gt;15, "Teen/Young Adult (16+)")</f>
        <v>Middle Age (30+)</v>
      </c>
      <c r="O224" s="3" t="s">
        <v>18</v>
      </c>
    </row>
    <row r="225" spans="1:15" x14ac:dyDescent="0.3">
      <c r="A225" s="4">
        <v>18711</v>
      </c>
      <c r="B225" s="3" t="s">
        <v>40</v>
      </c>
      <c r="C225" s="3" t="s">
        <v>41</v>
      </c>
      <c r="D225" s="11">
        <v>70000</v>
      </c>
      <c r="E225" s="9" t="str" cm="1">
        <f t="array" ref="E225">_xlfn.IFS(D225&gt;149000, "Very High", D225&gt;99000, "High", D225&gt;59999, "Average", D225&gt;19999, "Low", D225&gt;0, "Poverty")</f>
        <v>Average</v>
      </c>
      <c r="F225" s="3">
        <v>5</v>
      </c>
      <c r="G225" t="s">
        <v>13</v>
      </c>
      <c r="H225" t="s">
        <v>21</v>
      </c>
      <c r="I225" s="3" t="s">
        <v>15</v>
      </c>
      <c r="J225" s="3">
        <v>4</v>
      </c>
      <c r="K225" t="s">
        <v>30</v>
      </c>
      <c r="L225" t="s">
        <v>24</v>
      </c>
      <c r="M225" s="3">
        <v>39</v>
      </c>
      <c r="N225" s="3" t="str" cm="1">
        <f t="array" ref="N225">_xlfn.IFS(M225&gt;59, "Pension Age", M225&gt;44, "Elderly (45+)", M225&gt;29, "Middle Age (30+)", M225&gt;22, "Adult (23+)", M225&gt;15, "Teen/Young Adult (16+)")</f>
        <v>Middle Age (30+)</v>
      </c>
      <c r="O225" s="3" t="s">
        <v>18</v>
      </c>
    </row>
    <row r="226" spans="1:15" x14ac:dyDescent="0.3">
      <c r="A226" s="4">
        <v>19650</v>
      </c>
      <c r="B226" s="3" t="s">
        <v>39</v>
      </c>
      <c r="C226" s="3" t="s">
        <v>41</v>
      </c>
      <c r="D226" s="11">
        <v>30000</v>
      </c>
      <c r="E226" s="9" t="str" cm="1">
        <f t="array" ref="E226">_xlfn.IFS(D226&gt;149000, "Very High", D226&gt;99000, "High", D226&gt;59999, "Average", D226&gt;19999, "Low", D226&gt;0, "Poverty")</f>
        <v>Low</v>
      </c>
      <c r="F226" s="3">
        <v>2</v>
      </c>
      <c r="G226" t="s">
        <v>19</v>
      </c>
      <c r="H226" t="s">
        <v>20</v>
      </c>
      <c r="I226" s="3" t="s">
        <v>18</v>
      </c>
      <c r="J226" s="3">
        <v>2</v>
      </c>
      <c r="K226" t="s">
        <v>16</v>
      </c>
      <c r="L226" t="s">
        <v>24</v>
      </c>
      <c r="M226" s="3">
        <v>67</v>
      </c>
      <c r="N226" s="3" t="str" cm="1">
        <f t="array" ref="N226">_xlfn.IFS(M226&gt;59, "Pension Age", M226&gt;44, "Elderly (45+)", M226&gt;29, "Middle Age (30+)", M226&gt;22, "Adult (23+)", M226&gt;15, "Teen/Young Adult (16+)")</f>
        <v>Pension Age</v>
      </c>
      <c r="O226" s="3" t="s">
        <v>18</v>
      </c>
    </row>
    <row r="227" spans="1:15" x14ac:dyDescent="0.3">
      <c r="A227" s="4">
        <v>14135</v>
      </c>
      <c r="B227" s="3" t="s">
        <v>39</v>
      </c>
      <c r="C227" s="3" t="s">
        <v>42</v>
      </c>
      <c r="D227" s="11">
        <v>20000</v>
      </c>
      <c r="E227" s="9" t="str" cm="1">
        <f t="array" ref="E227">_xlfn.IFS(D227&gt;149000, "Very High", D227&gt;99000, "High", D227&gt;59999, "Average", D227&gt;19999, "Low", D227&gt;0, "Poverty")</f>
        <v>Low</v>
      </c>
      <c r="F227" s="3">
        <v>1</v>
      </c>
      <c r="G227" t="s">
        <v>19</v>
      </c>
      <c r="H227" t="s">
        <v>25</v>
      </c>
      <c r="I227" s="3" t="s">
        <v>15</v>
      </c>
      <c r="J227" s="3">
        <v>0</v>
      </c>
      <c r="K227" t="s">
        <v>26</v>
      </c>
      <c r="L227" t="s">
        <v>17</v>
      </c>
      <c r="M227" s="3">
        <v>35</v>
      </c>
      <c r="N227" s="3" t="str" cm="1">
        <f t="array" ref="N227">_xlfn.IFS(M227&gt;59, "Pension Age", M227&gt;44, "Elderly (45+)", M227&gt;29, "Middle Age (30+)", M227&gt;22, "Adult (23+)", M227&gt;15, "Teen/Young Adult (16+)")</f>
        <v>Middle Age (30+)</v>
      </c>
      <c r="O227" s="3" t="s">
        <v>18</v>
      </c>
    </row>
    <row r="228" spans="1:15" x14ac:dyDescent="0.3">
      <c r="A228" s="4">
        <v>12833</v>
      </c>
      <c r="B228" s="3" t="s">
        <v>40</v>
      </c>
      <c r="C228" s="3" t="s">
        <v>41</v>
      </c>
      <c r="D228" s="11">
        <v>20000</v>
      </c>
      <c r="E228" s="9" t="str" cm="1">
        <f t="array" ref="E228">_xlfn.IFS(D228&gt;149000, "Very High", D228&gt;99000, "High", D228&gt;59999, "Average", D228&gt;19999, "Low", D228&gt;0, "Poverty")</f>
        <v>Low</v>
      </c>
      <c r="F228" s="3">
        <v>3</v>
      </c>
      <c r="G228" t="s">
        <v>27</v>
      </c>
      <c r="H228" t="s">
        <v>25</v>
      </c>
      <c r="I228" s="3" t="s">
        <v>15</v>
      </c>
      <c r="J228" s="3">
        <v>1</v>
      </c>
      <c r="K228" t="s">
        <v>16</v>
      </c>
      <c r="L228" t="s">
        <v>17</v>
      </c>
      <c r="M228" s="3">
        <v>42</v>
      </c>
      <c r="N228" s="3" t="str" cm="1">
        <f t="array" ref="N228">_xlfn.IFS(M228&gt;59, "Pension Age", M228&gt;44, "Elderly (45+)", M228&gt;29, "Middle Age (30+)", M228&gt;22, "Adult (23+)", M228&gt;15, "Teen/Young Adult (16+)")</f>
        <v>Middle Age (30+)</v>
      </c>
      <c r="O228" s="3" t="s">
        <v>15</v>
      </c>
    </row>
    <row r="229" spans="1:15" x14ac:dyDescent="0.3">
      <c r="A229" s="4">
        <v>26849</v>
      </c>
      <c r="B229" s="3" t="s">
        <v>39</v>
      </c>
      <c r="C229" s="3" t="s">
        <v>42</v>
      </c>
      <c r="D229" s="11">
        <v>10000</v>
      </c>
      <c r="E229" s="9" t="str" cm="1">
        <f t="array" ref="E229">_xlfn.IFS(D229&gt;149000, "Very High", D229&gt;99000, "High", D229&gt;59999, "Average", D229&gt;19999, "Low", D229&gt;0, "Poverty")</f>
        <v>Poverty</v>
      </c>
      <c r="F229" s="3">
        <v>3</v>
      </c>
      <c r="G229" t="s">
        <v>29</v>
      </c>
      <c r="H229" t="s">
        <v>25</v>
      </c>
      <c r="I229" s="3" t="s">
        <v>15</v>
      </c>
      <c r="J229" s="3">
        <v>2</v>
      </c>
      <c r="K229" t="s">
        <v>16</v>
      </c>
      <c r="L229" t="s">
        <v>17</v>
      </c>
      <c r="M229" s="3">
        <v>43</v>
      </c>
      <c r="N229" s="3" t="str" cm="1">
        <f t="array" ref="N229">_xlfn.IFS(M229&gt;59, "Pension Age", M229&gt;44, "Elderly (45+)", M229&gt;29, "Middle Age (30+)", M229&gt;22, "Adult (23+)", M229&gt;15, "Teen/Young Adult (16+)")</f>
        <v>Middle Age (30+)</v>
      </c>
      <c r="O229" s="3" t="s">
        <v>18</v>
      </c>
    </row>
    <row r="230" spans="1:15" x14ac:dyDescent="0.3">
      <c r="A230" s="4">
        <v>20962</v>
      </c>
      <c r="B230" s="3" t="s">
        <v>39</v>
      </c>
      <c r="C230" s="3" t="s">
        <v>41</v>
      </c>
      <c r="D230" s="11">
        <v>20000</v>
      </c>
      <c r="E230" s="9" t="str" cm="1">
        <f t="array" ref="E230">_xlfn.IFS(D230&gt;149000, "Very High", D230&gt;99000, "High", D230&gt;59999, "Average", D230&gt;19999, "Low", D230&gt;0, "Poverty")</f>
        <v>Low</v>
      </c>
      <c r="F230" s="3">
        <v>1</v>
      </c>
      <c r="G230" t="s">
        <v>31</v>
      </c>
      <c r="H230" t="s">
        <v>20</v>
      </c>
      <c r="I230" s="3" t="s">
        <v>15</v>
      </c>
      <c r="J230" s="3">
        <v>0</v>
      </c>
      <c r="K230" t="s">
        <v>16</v>
      </c>
      <c r="L230" t="s">
        <v>17</v>
      </c>
      <c r="M230" s="3">
        <v>45</v>
      </c>
      <c r="N230" s="3" t="str" cm="1">
        <f t="array" ref="N230">_xlfn.IFS(M230&gt;59, "Pension Age", M230&gt;44, "Elderly (45+)", M230&gt;29, "Middle Age (30+)", M230&gt;22, "Adult (23+)", M230&gt;15, "Teen/Young Adult (16+)")</f>
        <v>Elderly (45+)</v>
      </c>
      <c r="O230" s="3" t="s">
        <v>18</v>
      </c>
    </row>
    <row r="231" spans="1:15" x14ac:dyDescent="0.3">
      <c r="A231" s="4">
        <v>28915</v>
      </c>
      <c r="B231" s="3" t="s">
        <v>40</v>
      </c>
      <c r="C231" s="3" t="s">
        <v>42</v>
      </c>
      <c r="D231" s="11">
        <v>80000</v>
      </c>
      <c r="E231" s="9" t="str" cm="1">
        <f t="array" ref="E231">_xlfn.IFS(D231&gt;149000, "Very High", D231&gt;99000, "High", D231&gt;59999, "Average", D231&gt;19999, "Low", D231&gt;0, "Poverty")</f>
        <v>Average</v>
      </c>
      <c r="F231" s="3">
        <v>5</v>
      </c>
      <c r="G231" t="s">
        <v>27</v>
      </c>
      <c r="H231" t="s">
        <v>28</v>
      </c>
      <c r="I231" s="3" t="s">
        <v>15</v>
      </c>
      <c r="J231" s="3">
        <v>3</v>
      </c>
      <c r="K231" t="s">
        <v>30</v>
      </c>
      <c r="L231" t="s">
        <v>17</v>
      </c>
      <c r="M231" s="3">
        <v>57</v>
      </c>
      <c r="N231" s="3" t="str" cm="1">
        <f t="array" ref="N231">_xlfn.IFS(M231&gt;59, "Pension Age", M231&gt;44, "Elderly (45+)", M231&gt;29, "Middle Age (30+)", M231&gt;22, "Adult (23+)", M231&gt;15, "Teen/Young Adult (16+)")</f>
        <v>Elderly (45+)</v>
      </c>
      <c r="O231" s="3" t="s">
        <v>18</v>
      </c>
    </row>
    <row r="232" spans="1:15" x14ac:dyDescent="0.3">
      <c r="A232" s="4">
        <v>22830</v>
      </c>
      <c r="B232" s="3" t="s">
        <v>39</v>
      </c>
      <c r="C232" s="3" t="s">
        <v>42</v>
      </c>
      <c r="D232" s="11">
        <v>120000</v>
      </c>
      <c r="E232" s="9" t="str" cm="1">
        <f t="array" ref="E232">_xlfn.IFS(D232&gt;149000, "Very High", D232&gt;99000, "High", D232&gt;59999, "Average", D232&gt;19999, "Low", D232&gt;0, "Poverty")</f>
        <v>High</v>
      </c>
      <c r="F232" s="3">
        <v>4</v>
      </c>
      <c r="G232" t="s">
        <v>19</v>
      </c>
      <c r="H232" t="s">
        <v>28</v>
      </c>
      <c r="I232" s="3" t="s">
        <v>15</v>
      </c>
      <c r="J232" s="3">
        <v>3</v>
      </c>
      <c r="K232" t="s">
        <v>30</v>
      </c>
      <c r="L232" t="s">
        <v>17</v>
      </c>
      <c r="M232" s="3">
        <v>56</v>
      </c>
      <c r="N232" s="3" t="str" cm="1">
        <f t="array" ref="N232">_xlfn.IFS(M232&gt;59, "Pension Age", M232&gt;44, "Elderly (45+)", M232&gt;29, "Middle Age (30+)", M232&gt;22, "Adult (23+)", M232&gt;15, "Teen/Young Adult (16+)")</f>
        <v>Elderly (45+)</v>
      </c>
      <c r="O232" s="3" t="s">
        <v>18</v>
      </c>
    </row>
    <row r="233" spans="1:15" x14ac:dyDescent="0.3">
      <c r="A233" s="4">
        <v>14777</v>
      </c>
      <c r="B233" s="3" t="s">
        <v>39</v>
      </c>
      <c r="C233" s="3" t="s">
        <v>41</v>
      </c>
      <c r="D233" s="11">
        <v>40000</v>
      </c>
      <c r="E233" s="9" t="str" cm="1">
        <f t="array" ref="E233">_xlfn.IFS(D233&gt;149000, "Very High", D233&gt;99000, "High", D233&gt;59999, "Average", D233&gt;19999, "Low", D233&gt;0, "Poverty")</f>
        <v>Low</v>
      </c>
      <c r="F233" s="3">
        <v>0</v>
      </c>
      <c r="G233" t="s">
        <v>13</v>
      </c>
      <c r="H233" t="s">
        <v>20</v>
      </c>
      <c r="I233" s="3" t="s">
        <v>15</v>
      </c>
      <c r="J233" s="3">
        <v>0</v>
      </c>
      <c r="K233" t="s">
        <v>16</v>
      </c>
      <c r="L233" t="s">
        <v>17</v>
      </c>
      <c r="M233" s="3">
        <v>38</v>
      </c>
      <c r="N233" s="3" t="str" cm="1">
        <f t="array" ref="N233">_xlfn.IFS(M233&gt;59, "Pension Age", M233&gt;44, "Elderly (45+)", M233&gt;29, "Middle Age (30+)", M233&gt;22, "Adult (23+)", M233&gt;15, "Teen/Young Adult (16+)")</f>
        <v>Middle Age (30+)</v>
      </c>
      <c r="O233" s="3" t="s">
        <v>15</v>
      </c>
    </row>
    <row r="234" spans="1:15" x14ac:dyDescent="0.3">
      <c r="A234" s="4">
        <v>12591</v>
      </c>
      <c r="B234" s="3" t="s">
        <v>39</v>
      </c>
      <c r="C234" s="3" t="s">
        <v>41</v>
      </c>
      <c r="D234" s="11">
        <v>30000</v>
      </c>
      <c r="E234" s="9" t="str" cm="1">
        <f t="array" ref="E234">_xlfn.IFS(D234&gt;149000, "Very High", D234&gt;99000, "High", D234&gt;59999, "Average", D234&gt;19999, "Low", D234&gt;0, "Poverty")</f>
        <v>Low</v>
      </c>
      <c r="F234" s="3">
        <v>4</v>
      </c>
      <c r="G234" t="s">
        <v>31</v>
      </c>
      <c r="H234" t="s">
        <v>20</v>
      </c>
      <c r="I234" s="3" t="s">
        <v>15</v>
      </c>
      <c r="J234" s="3">
        <v>0</v>
      </c>
      <c r="K234" t="s">
        <v>16</v>
      </c>
      <c r="L234" t="s">
        <v>17</v>
      </c>
      <c r="M234" s="3">
        <v>45</v>
      </c>
      <c r="N234" s="3" t="str" cm="1">
        <f t="array" ref="N234">_xlfn.IFS(M234&gt;59, "Pension Age", M234&gt;44, "Elderly (45+)", M234&gt;29, "Middle Age (30+)", M234&gt;22, "Adult (23+)", M234&gt;15, "Teen/Young Adult (16+)")</f>
        <v>Elderly (45+)</v>
      </c>
      <c r="O234" s="3" t="s">
        <v>18</v>
      </c>
    </row>
    <row r="235" spans="1:15" x14ac:dyDescent="0.3">
      <c r="A235" s="4">
        <v>24174</v>
      </c>
      <c r="B235" s="3" t="s">
        <v>39</v>
      </c>
      <c r="C235" s="3" t="s">
        <v>42</v>
      </c>
      <c r="D235" s="11">
        <v>20000</v>
      </c>
      <c r="E235" s="9" t="str" cm="1">
        <f t="array" ref="E235">_xlfn.IFS(D235&gt;149000, "Very High", D235&gt;99000, "High", D235&gt;59999, "Average", D235&gt;19999, "Low", D235&gt;0, "Poverty")</f>
        <v>Low</v>
      </c>
      <c r="F235" s="3">
        <v>0</v>
      </c>
      <c r="G235" t="s">
        <v>13</v>
      </c>
      <c r="H235" t="s">
        <v>20</v>
      </c>
      <c r="I235" s="3" t="s">
        <v>15</v>
      </c>
      <c r="J235" s="3">
        <v>0</v>
      </c>
      <c r="K235" t="s">
        <v>16</v>
      </c>
      <c r="L235" t="s">
        <v>24</v>
      </c>
      <c r="M235" s="3">
        <v>27</v>
      </c>
      <c r="N235" s="3" t="str" cm="1">
        <f t="array" ref="N235">_xlfn.IFS(M235&gt;59, "Pension Age", M235&gt;44, "Elderly (45+)", M235&gt;29, "Middle Age (30+)", M235&gt;22, "Adult (23+)", M235&gt;15, "Teen/Young Adult (16+)")</f>
        <v>Adult (23+)</v>
      </c>
      <c r="O235" s="3" t="s">
        <v>15</v>
      </c>
    </row>
    <row r="236" spans="1:15" x14ac:dyDescent="0.3">
      <c r="A236" s="4">
        <v>24611</v>
      </c>
      <c r="B236" s="3" t="s">
        <v>40</v>
      </c>
      <c r="C236" s="3" t="s">
        <v>42</v>
      </c>
      <c r="D236" s="11">
        <v>90000</v>
      </c>
      <c r="E236" s="9" t="str" cm="1">
        <f t="array" ref="E236">_xlfn.IFS(D236&gt;149000, "Very High", D236&gt;99000, "High", D236&gt;59999, "Average", D236&gt;19999, "Low", D236&gt;0, "Poverty")</f>
        <v>Average</v>
      </c>
      <c r="F236" s="3">
        <v>0</v>
      </c>
      <c r="G236" t="s">
        <v>13</v>
      </c>
      <c r="H236" t="s">
        <v>21</v>
      </c>
      <c r="I236" s="3" t="s">
        <v>18</v>
      </c>
      <c r="J236" s="3">
        <v>4</v>
      </c>
      <c r="K236" t="s">
        <v>30</v>
      </c>
      <c r="L236" t="s">
        <v>24</v>
      </c>
      <c r="M236" s="3">
        <v>35</v>
      </c>
      <c r="N236" s="3" t="str" cm="1">
        <f t="array" ref="N236">_xlfn.IFS(M236&gt;59, "Pension Age", M236&gt;44, "Elderly (45+)", M236&gt;29, "Middle Age (30+)", M236&gt;22, "Adult (23+)", M236&gt;15, "Teen/Young Adult (16+)")</f>
        <v>Middle Age (30+)</v>
      </c>
      <c r="O236" s="3" t="s">
        <v>15</v>
      </c>
    </row>
    <row r="237" spans="1:15" x14ac:dyDescent="0.3">
      <c r="A237" s="4">
        <v>11340</v>
      </c>
      <c r="B237" s="3" t="s">
        <v>39</v>
      </c>
      <c r="C237" s="3" t="s">
        <v>41</v>
      </c>
      <c r="D237" s="11">
        <v>10000</v>
      </c>
      <c r="E237" s="9" t="str" cm="1">
        <f t="array" ref="E237">_xlfn.IFS(D237&gt;149000, "Very High", D237&gt;99000, "High", D237&gt;59999, "Average", D237&gt;19999, "Low", D237&gt;0, "Poverty")</f>
        <v>Poverty</v>
      </c>
      <c r="F237" s="3">
        <v>1</v>
      </c>
      <c r="G237" t="s">
        <v>31</v>
      </c>
      <c r="H237" t="s">
        <v>20</v>
      </c>
      <c r="I237" s="3" t="s">
        <v>15</v>
      </c>
      <c r="J237" s="3">
        <v>0</v>
      </c>
      <c r="K237" t="s">
        <v>16</v>
      </c>
      <c r="L237" t="s">
        <v>17</v>
      </c>
      <c r="M237" s="3">
        <v>70</v>
      </c>
      <c r="N237" s="3" t="str" cm="1">
        <f t="array" ref="N237">_xlfn.IFS(M237&gt;59, "Pension Age", M237&gt;44, "Elderly (45+)", M237&gt;29, "Middle Age (30+)", M237&gt;22, "Adult (23+)", M237&gt;15, "Teen/Young Adult (16+)")</f>
        <v>Pension Age</v>
      </c>
      <c r="O237" s="3" t="s">
        <v>15</v>
      </c>
    </row>
    <row r="238" spans="1:15" x14ac:dyDescent="0.3">
      <c r="A238" s="4">
        <v>25693</v>
      </c>
      <c r="B238" s="3" t="s">
        <v>40</v>
      </c>
      <c r="C238" s="3" t="s">
        <v>41</v>
      </c>
      <c r="D238" s="11">
        <v>30000</v>
      </c>
      <c r="E238" s="9" t="str" cm="1">
        <f t="array" ref="E238">_xlfn.IFS(D238&gt;149000, "Very High", D238&gt;99000, "High", D238&gt;59999, "Average", D238&gt;19999, "Low", D238&gt;0, "Poverty")</f>
        <v>Low</v>
      </c>
      <c r="F238" s="3">
        <v>5</v>
      </c>
      <c r="G238" t="s">
        <v>31</v>
      </c>
      <c r="H238" t="s">
        <v>20</v>
      </c>
      <c r="I238" s="3" t="s">
        <v>15</v>
      </c>
      <c r="J238" s="3">
        <v>0</v>
      </c>
      <c r="K238" t="s">
        <v>16</v>
      </c>
      <c r="L238" t="s">
        <v>17</v>
      </c>
      <c r="M238" s="3">
        <v>44</v>
      </c>
      <c r="N238" s="3" t="str" cm="1">
        <f t="array" ref="N238">_xlfn.IFS(M238&gt;59, "Pension Age", M238&gt;44, "Elderly (45+)", M238&gt;29, "Middle Age (30+)", M238&gt;22, "Adult (23+)", M238&gt;15, "Teen/Young Adult (16+)")</f>
        <v>Middle Age (30+)</v>
      </c>
      <c r="O238" s="3" t="s">
        <v>15</v>
      </c>
    </row>
    <row r="239" spans="1:15" x14ac:dyDescent="0.3">
      <c r="A239" s="4">
        <v>25555</v>
      </c>
      <c r="B239" s="3" t="s">
        <v>39</v>
      </c>
      <c r="C239" s="3" t="s">
        <v>41</v>
      </c>
      <c r="D239" s="11">
        <v>10000</v>
      </c>
      <c r="E239" s="9" t="str" cm="1">
        <f t="array" ref="E239">_xlfn.IFS(D239&gt;149000, "Very High", D239&gt;99000, "High", D239&gt;59999, "Average", D239&gt;19999, "Low", D239&gt;0, "Poverty")</f>
        <v>Poverty</v>
      </c>
      <c r="F239" s="3">
        <v>0</v>
      </c>
      <c r="G239" t="s">
        <v>19</v>
      </c>
      <c r="H239" t="s">
        <v>25</v>
      </c>
      <c r="I239" s="3" t="s">
        <v>18</v>
      </c>
      <c r="J239" s="3">
        <v>1</v>
      </c>
      <c r="K239" t="s">
        <v>16</v>
      </c>
      <c r="L239" t="s">
        <v>24</v>
      </c>
      <c r="M239" s="3">
        <v>26</v>
      </c>
      <c r="N239" s="3" t="str" cm="1">
        <f t="array" ref="N239">_xlfn.IFS(M239&gt;59, "Pension Age", M239&gt;44, "Elderly (45+)", M239&gt;29, "Middle Age (30+)", M239&gt;22, "Adult (23+)", M239&gt;15, "Teen/Young Adult (16+)")</f>
        <v>Adult (23+)</v>
      </c>
      <c r="O239" s="3" t="s">
        <v>15</v>
      </c>
    </row>
    <row r="240" spans="1:15" x14ac:dyDescent="0.3">
      <c r="A240" s="4">
        <v>22006</v>
      </c>
      <c r="B240" s="3" t="s">
        <v>39</v>
      </c>
      <c r="C240" s="3" t="s">
        <v>42</v>
      </c>
      <c r="D240" s="11">
        <v>70000</v>
      </c>
      <c r="E240" s="9" t="str" cm="1">
        <f t="array" ref="E240">_xlfn.IFS(D240&gt;149000, "Very High", D240&gt;99000, "High", D240&gt;59999, "Average", D240&gt;19999, "Low", D240&gt;0, "Poverty")</f>
        <v>Average</v>
      </c>
      <c r="F240" s="3">
        <v>5</v>
      </c>
      <c r="G240" t="s">
        <v>19</v>
      </c>
      <c r="H240" t="s">
        <v>14</v>
      </c>
      <c r="I240" s="3" t="s">
        <v>15</v>
      </c>
      <c r="J240" s="3">
        <v>3</v>
      </c>
      <c r="K240" t="s">
        <v>23</v>
      </c>
      <c r="L240" t="s">
        <v>24</v>
      </c>
      <c r="M240" s="3">
        <v>46</v>
      </c>
      <c r="N240" s="3" t="str" cm="1">
        <f t="array" ref="N240">_xlfn.IFS(M240&gt;59, "Pension Age", M240&gt;44, "Elderly (45+)", M240&gt;29, "Middle Age (30+)", M240&gt;22, "Adult (23+)", M240&gt;15, "Teen/Young Adult (16+)")</f>
        <v>Elderly (45+)</v>
      </c>
      <c r="O240" s="3" t="s">
        <v>18</v>
      </c>
    </row>
    <row r="241" spans="1:15" x14ac:dyDescent="0.3">
      <c r="A241" s="4">
        <v>20060</v>
      </c>
      <c r="B241" s="3" t="s">
        <v>40</v>
      </c>
      <c r="C241" s="3" t="s">
        <v>41</v>
      </c>
      <c r="D241" s="11">
        <v>30000</v>
      </c>
      <c r="E241" s="9" t="str" cm="1">
        <f t="array" ref="E241">_xlfn.IFS(D241&gt;149000, "Very High", D241&gt;99000, "High", D241&gt;59999, "Average", D241&gt;19999, "Low", D241&gt;0, "Poverty")</f>
        <v>Low</v>
      </c>
      <c r="F241" s="3">
        <v>0</v>
      </c>
      <c r="G241" t="s">
        <v>27</v>
      </c>
      <c r="H241" t="s">
        <v>25</v>
      </c>
      <c r="I241" s="3" t="s">
        <v>18</v>
      </c>
      <c r="J241" s="3">
        <v>1</v>
      </c>
      <c r="K241" t="s">
        <v>22</v>
      </c>
      <c r="L241" t="s">
        <v>17</v>
      </c>
      <c r="M241" s="3">
        <v>34</v>
      </c>
      <c r="N241" s="3" t="str" cm="1">
        <f t="array" ref="N241">_xlfn.IFS(M241&gt;59, "Pension Age", M241&gt;44, "Elderly (45+)", M241&gt;29, "Middle Age (30+)", M241&gt;22, "Adult (23+)", M241&gt;15, "Teen/Young Adult (16+)")</f>
        <v>Middle Age (30+)</v>
      </c>
      <c r="O241" s="3" t="s">
        <v>15</v>
      </c>
    </row>
    <row r="242" spans="1:15" x14ac:dyDescent="0.3">
      <c r="A242" s="4">
        <v>17702</v>
      </c>
      <c r="B242" s="3" t="s">
        <v>39</v>
      </c>
      <c r="C242" s="3" t="s">
        <v>42</v>
      </c>
      <c r="D242" s="11">
        <v>10000</v>
      </c>
      <c r="E242" s="9" t="str" cm="1">
        <f t="array" ref="E242">_xlfn.IFS(D242&gt;149000, "Very High", D242&gt;99000, "High", D242&gt;59999, "Average", D242&gt;19999, "Low", D242&gt;0, "Poverty")</f>
        <v>Poverty</v>
      </c>
      <c r="F242" s="3">
        <v>1</v>
      </c>
      <c r="G242" t="s">
        <v>31</v>
      </c>
      <c r="H242" t="s">
        <v>25</v>
      </c>
      <c r="I242" s="3" t="s">
        <v>15</v>
      </c>
      <c r="J242" s="3">
        <v>0</v>
      </c>
      <c r="K242" t="s">
        <v>16</v>
      </c>
      <c r="L242" t="s">
        <v>17</v>
      </c>
      <c r="M242" s="3">
        <v>37</v>
      </c>
      <c r="N242" s="3" t="str" cm="1">
        <f t="array" ref="N242">_xlfn.IFS(M242&gt;59, "Pension Age", M242&gt;44, "Elderly (45+)", M242&gt;29, "Middle Age (30+)", M242&gt;22, "Adult (23+)", M242&gt;15, "Teen/Young Adult (16+)")</f>
        <v>Middle Age (30+)</v>
      </c>
      <c r="O242" s="3" t="s">
        <v>18</v>
      </c>
    </row>
    <row r="243" spans="1:15" x14ac:dyDescent="0.3">
      <c r="A243" s="4">
        <v>12503</v>
      </c>
      <c r="B243" s="3" t="s">
        <v>40</v>
      </c>
      <c r="C243" s="3" t="s">
        <v>41</v>
      </c>
      <c r="D243" s="11">
        <v>30000</v>
      </c>
      <c r="E243" s="9" t="str" cm="1">
        <f t="array" ref="E243">_xlfn.IFS(D243&gt;149000, "Very High", D243&gt;99000, "High", D243&gt;59999, "Average", D243&gt;19999, "Low", D243&gt;0, "Poverty")</f>
        <v>Low</v>
      </c>
      <c r="F243" s="3">
        <v>3</v>
      </c>
      <c r="G243" t="s">
        <v>19</v>
      </c>
      <c r="H243" t="s">
        <v>20</v>
      </c>
      <c r="I243" s="3" t="s">
        <v>15</v>
      </c>
      <c r="J243" s="3">
        <v>2</v>
      </c>
      <c r="K243" t="s">
        <v>16</v>
      </c>
      <c r="L243" t="s">
        <v>17</v>
      </c>
      <c r="M243" s="3">
        <v>27</v>
      </c>
      <c r="N243" s="3" t="str" cm="1">
        <f t="array" ref="N243">_xlfn.IFS(M243&gt;59, "Pension Age", M243&gt;44, "Elderly (45+)", M243&gt;29, "Middle Age (30+)", M243&gt;22, "Adult (23+)", M243&gt;15, "Teen/Young Adult (16+)")</f>
        <v>Adult (23+)</v>
      </c>
      <c r="O243" s="3" t="s">
        <v>18</v>
      </c>
    </row>
    <row r="244" spans="1:15" x14ac:dyDescent="0.3">
      <c r="A244" s="4">
        <v>23908</v>
      </c>
      <c r="B244" s="3" t="s">
        <v>40</v>
      </c>
      <c r="C244" s="3" t="s">
        <v>42</v>
      </c>
      <c r="D244" s="11">
        <v>30000</v>
      </c>
      <c r="E244" s="9" t="str" cm="1">
        <f t="array" ref="E244">_xlfn.IFS(D244&gt;149000, "Very High", D244&gt;99000, "High", D244&gt;59999, "Average", D244&gt;19999, "Low", D244&gt;0, "Poverty")</f>
        <v>Low</v>
      </c>
      <c r="F244" s="3">
        <v>1</v>
      </c>
      <c r="G244" t="s">
        <v>13</v>
      </c>
      <c r="H244" t="s">
        <v>20</v>
      </c>
      <c r="I244" s="3" t="s">
        <v>18</v>
      </c>
      <c r="J244" s="3">
        <v>1</v>
      </c>
      <c r="K244" t="s">
        <v>16</v>
      </c>
      <c r="L244" t="s">
        <v>17</v>
      </c>
      <c r="M244" s="3">
        <v>39</v>
      </c>
      <c r="N244" s="3" t="str" cm="1">
        <f t="array" ref="N244">_xlfn.IFS(M244&gt;59, "Pension Age", M244&gt;44, "Elderly (45+)", M244&gt;29, "Middle Age (30+)", M244&gt;22, "Adult (23+)", M244&gt;15, "Teen/Young Adult (16+)")</f>
        <v>Middle Age (30+)</v>
      </c>
      <c r="O244" s="3" t="s">
        <v>15</v>
      </c>
    </row>
    <row r="245" spans="1:15" x14ac:dyDescent="0.3">
      <c r="A245" s="4">
        <v>22527</v>
      </c>
      <c r="B245" s="3" t="s">
        <v>40</v>
      </c>
      <c r="C245" s="3" t="s">
        <v>41</v>
      </c>
      <c r="D245" s="11">
        <v>20000</v>
      </c>
      <c r="E245" s="9" t="str" cm="1">
        <f t="array" ref="E245">_xlfn.IFS(D245&gt;149000, "Very High", D245&gt;99000, "High", D245&gt;59999, "Average", D245&gt;19999, "Low", D245&gt;0, "Poverty")</f>
        <v>Low</v>
      </c>
      <c r="F245" s="3">
        <v>0</v>
      </c>
      <c r="G245" t="s">
        <v>27</v>
      </c>
      <c r="H245" t="s">
        <v>25</v>
      </c>
      <c r="I245" s="3" t="s">
        <v>18</v>
      </c>
      <c r="J245" s="3">
        <v>1</v>
      </c>
      <c r="K245" t="s">
        <v>22</v>
      </c>
      <c r="L245" t="s">
        <v>17</v>
      </c>
      <c r="M245" s="3">
        <v>29</v>
      </c>
      <c r="N245" s="3" t="str" cm="1">
        <f t="array" ref="N245">_xlfn.IFS(M245&gt;59, "Pension Age", M245&gt;44, "Elderly (45+)", M245&gt;29, "Middle Age (30+)", M245&gt;22, "Adult (23+)", M245&gt;15, "Teen/Young Adult (16+)")</f>
        <v>Adult (23+)</v>
      </c>
      <c r="O245" s="3" t="s">
        <v>18</v>
      </c>
    </row>
    <row r="246" spans="1:15" x14ac:dyDescent="0.3">
      <c r="A246" s="4">
        <v>19057</v>
      </c>
      <c r="B246" s="3" t="s">
        <v>39</v>
      </c>
      <c r="C246" s="3" t="s">
        <v>41</v>
      </c>
      <c r="D246" s="11">
        <v>120000</v>
      </c>
      <c r="E246" s="9" t="str" cm="1">
        <f t="array" ref="E246">_xlfn.IFS(D246&gt;149000, "Very High", D246&gt;99000, "High", D246&gt;59999, "Average", D246&gt;19999, "Low", D246&gt;0, "Poverty")</f>
        <v>High</v>
      </c>
      <c r="F246" s="3">
        <v>3</v>
      </c>
      <c r="G246" t="s">
        <v>13</v>
      </c>
      <c r="H246" t="s">
        <v>28</v>
      </c>
      <c r="I246" s="3" t="s">
        <v>18</v>
      </c>
      <c r="J246" s="3">
        <v>2</v>
      </c>
      <c r="K246" t="s">
        <v>30</v>
      </c>
      <c r="L246" t="s">
        <v>17</v>
      </c>
      <c r="M246" s="3">
        <v>52</v>
      </c>
      <c r="N246" s="3" t="str" cm="1">
        <f t="array" ref="N246">_xlfn.IFS(M246&gt;59, "Pension Age", M246&gt;44, "Elderly (45+)", M246&gt;29, "Middle Age (30+)", M246&gt;22, "Adult (23+)", M246&gt;15, "Teen/Young Adult (16+)")</f>
        <v>Elderly (45+)</v>
      </c>
      <c r="O246" s="3" t="s">
        <v>15</v>
      </c>
    </row>
    <row r="247" spans="1:15" x14ac:dyDescent="0.3">
      <c r="A247" s="4">
        <v>18494</v>
      </c>
      <c r="B247" s="3" t="s">
        <v>39</v>
      </c>
      <c r="C247" s="3" t="s">
        <v>42</v>
      </c>
      <c r="D247" s="11">
        <v>110000</v>
      </c>
      <c r="E247" s="9" t="str" cm="1">
        <f t="array" ref="E247">_xlfn.IFS(D247&gt;149000, "Very High", D247&gt;99000, "High", D247&gt;59999, "Average", D247&gt;19999, "Low", D247&gt;0, "Poverty")</f>
        <v>High</v>
      </c>
      <c r="F247" s="3">
        <v>5</v>
      </c>
      <c r="G247" t="s">
        <v>13</v>
      </c>
      <c r="H247" t="s">
        <v>28</v>
      </c>
      <c r="I247" s="3" t="s">
        <v>15</v>
      </c>
      <c r="J247" s="3">
        <v>4</v>
      </c>
      <c r="K247" t="s">
        <v>22</v>
      </c>
      <c r="L247" t="s">
        <v>24</v>
      </c>
      <c r="M247" s="3">
        <v>48</v>
      </c>
      <c r="N247" s="3" t="str" cm="1">
        <f t="array" ref="N247">_xlfn.IFS(M247&gt;59, "Pension Age", M247&gt;44, "Elderly (45+)", M247&gt;29, "Middle Age (30+)", M247&gt;22, "Adult (23+)", M247&gt;15, "Teen/Young Adult (16+)")</f>
        <v>Elderly (45+)</v>
      </c>
      <c r="O247" s="3" t="s">
        <v>15</v>
      </c>
    </row>
    <row r="248" spans="1:15" x14ac:dyDescent="0.3">
      <c r="A248" s="4">
        <v>11249</v>
      </c>
      <c r="B248" s="3" t="s">
        <v>39</v>
      </c>
      <c r="C248" s="3" t="s">
        <v>41</v>
      </c>
      <c r="D248" s="11">
        <v>130000</v>
      </c>
      <c r="E248" s="9" t="str" cm="1">
        <f t="array" ref="E248">_xlfn.IFS(D248&gt;149000, "Very High", D248&gt;99000, "High", D248&gt;59999, "Average", D248&gt;19999, "Low", D248&gt;0, "Poverty")</f>
        <v>High</v>
      </c>
      <c r="F248" s="3">
        <v>3</v>
      </c>
      <c r="G248" t="s">
        <v>19</v>
      </c>
      <c r="H248" t="s">
        <v>21</v>
      </c>
      <c r="I248" s="3" t="s">
        <v>15</v>
      </c>
      <c r="J248" s="3">
        <v>3</v>
      </c>
      <c r="K248" t="s">
        <v>16</v>
      </c>
      <c r="L248" t="s">
        <v>17</v>
      </c>
      <c r="M248" s="3">
        <v>51</v>
      </c>
      <c r="N248" s="3" t="str" cm="1">
        <f t="array" ref="N248">_xlfn.IFS(M248&gt;59, "Pension Age", M248&gt;44, "Elderly (45+)", M248&gt;29, "Middle Age (30+)", M248&gt;22, "Adult (23+)", M248&gt;15, "Teen/Young Adult (16+)")</f>
        <v>Elderly (45+)</v>
      </c>
      <c r="O248" s="3" t="s">
        <v>15</v>
      </c>
    </row>
    <row r="249" spans="1:15" x14ac:dyDescent="0.3">
      <c r="A249" s="4">
        <v>21568</v>
      </c>
      <c r="B249" s="3" t="s">
        <v>39</v>
      </c>
      <c r="C249" s="3" t="s">
        <v>41</v>
      </c>
      <c r="D249" s="11">
        <v>100000</v>
      </c>
      <c r="E249" s="9" t="str" cm="1">
        <f t="array" ref="E249">_xlfn.IFS(D249&gt;149000, "Very High", D249&gt;99000, "High", D249&gt;59999, "Average", D249&gt;19999, "Low", D249&gt;0, "Poverty")</f>
        <v>High</v>
      </c>
      <c r="F249" s="3">
        <v>0</v>
      </c>
      <c r="G249" t="s">
        <v>27</v>
      </c>
      <c r="H249" t="s">
        <v>28</v>
      </c>
      <c r="I249" s="3" t="s">
        <v>15</v>
      </c>
      <c r="J249" s="3">
        <v>4</v>
      </c>
      <c r="K249" t="s">
        <v>30</v>
      </c>
      <c r="L249" t="s">
        <v>24</v>
      </c>
      <c r="M249" s="3">
        <v>34</v>
      </c>
      <c r="N249" s="3" t="str" cm="1">
        <f t="array" ref="N249">_xlfn.IFS(M249&gt;59, "Pension Age", M249&gt;44, "Elderly (45+)", M249&gt;29, "Middle Age (30+)", M249&gt;22, "Adult (23+)", M249&gt;15, "Teen/Young Adult (16+)")</f>
        <v>Middle Age (30+)</v>
      </c>
      <c r="O249" s="3" t="s">
        <v>15</v>
      </c>
    </row>
    <row r="250" spans="1:15" x14ac:dyDescent="0.3">
      <c r="A250" s="4">
        <v>13981</v>
      </c>
      <c r="B250" s="3" t="s">
        <v>39</v>
      </c>
      <c r="C250" s="3" t="s">
        <v>41</v>
      </c>
      <c r="D250" s="11">
        <v>10000</v>
      </c>
      <c r="E250" s="9" t="str" cm="1">
        <f t="array" ref="E250">_xlfn.IFS(D250&gt;149000, "Very High", D250&gt;99000, "High", D250&gt;59999, "Average", D250&gt;19999, "Low", D250&gt;0, "Poverty")</f>
        <v>Poverty</v>
      </c>
      <c r="F250" s="3">
        <v>5</v>
      </c>
      <c r="G250" t="s">
        <v>27</v>
      </c>
      <c r="H250" t="s">
        <v>14</v>
      </c>
      <c r="I250" s="3" t="s">
        <v>18</v>
      </c>
      <c r="J250" s="3">
        <v>3</v>
      </c>
      <c r="K250" t="s">
        <v>26</v>
      </c>
      <c r="L250" t="s">
        <v>24</v>
      </c>
      <c r="M250" s="3">
        <v>62</v>
      </c>
      <c r="N250" s="3" t="str" cm="1">
        <f t="array" ref="N250">_xlfn.IFS(M250&gt;59, "Pension Age", M250&gt;44, "Elderly (45+)", M250&gt;29, "Middle Age (30+)", M250&gt;22, "Adult (23+)", M250&gt;15, "Teen/Young Adult (16+)")</f>
        <v>Pension Age</v>
      </c>
      <c r="O250" s="3" t="s">
        <v>18</v>
      </c>
    </row>
    <row r="251" spans="1:15" x14ac:dyDescent="0.3">
      <c r="A251" s="4">
        <v>23432</v>
      </c>
      <c r="B251" s="3" t="s">
        <v>40</v>
      </c>
      <c r="C251" s="3" t="s">
        <v>42</v>
      </c>
      <c r="D251" s="11">
        <v>70000</v>
      </c>
      <c r="E251" s="9" t="str" cm="1">
        <f t="array" ref="E251">_xlfn.IFS(D251&gt;149000, "Very High", D251&gt;99000, "High", D251&gt;59999, "Average", D251&gt;19999, "Low", D251&gt;0, "Poverty")</f>
        <v>Average</v>
      </c>
      <c r="F251" s="3">
        <v>0</v>
      </c>
      <c r="G251" t="s">
        <v>13</v>
      </c>
      <c r="H251" t="s">
        <v>21</v>
      </c>
      <c r="I251" s="3" t="s">
        <v>15</v>
      </c>
      <c r="J251" s="3">
        <v>1</v>
      </c>
      <c r="K251" t="s">
        <v>23</v>
      </c>
      <c r="L251" t="s">
        <v>24</v>
      </c>
      <c r="M251" s="3">
        <v>37</v>
      </c>
      <c r="N251" s="3" t="str" cm="1">
        <f t="array" ref="N251">_xlfn.IFS(M251&gt;59, "Pension Age", M251&gt;44, "Elderly (45+)", M251&gt;29, "Middle Age (30+)", M251&gt;22, "Adult (23+)", M251&gt;15, "Teen/Young Adult (16+)")</f>
        <v>Middle Age (30+)</v>
      </c>
      <c r="O251" s="3" t="s">
        <v>15</v>
      </c>
    </row>
    <row r="252" spans="1:15" x14ac:dyDescent="0.3">
      <c r="A252" s="4">
        <v>22931</v>
      </c>
      <c r="B252" s="3" t="s">
        <v>39</v>
      </c>
      <c r="C252" s="3" t="s">
        <v>42</v>
      </c>
      <c r="D252" s="11">
        <v>100000</v>
      </c>
      <c r="E252" s="9" t="str" cm="1">
        <f t="array" ref="E252">_xlfn.IFS(D252&gt;149000, "Very High", D252&gt;99000, "High", D252&gt;59999, "Average", D252&gt;19999, "Low", D252&gt;0, "Poverty")</f>
        <v>High</v>
      </c>
      <c r="F252" s="3">
        <v>5</v>
      </c>
      <c r="G252" t="s">
        <v>31</v>
      </c>
      <c r="H252" t="s">
        <v>28</v>
      </c>
      <c r="I252" s="3" t="s">
        <v>18</v>
      </c>
      <c r="J252" s="3">
        <v>1</v>
      </c>
      <c r="K252" t="s">
        <v>26</v>
      </c>
      <c r="L252" t="s">
        <v>24</v>
      </c>
      <c r="M252" s="3">
        <v>78</v>
      </c>
      <c r="N252" s="3" t="str" cm="1">
        <f t="array" ref="N252">_xlfn.IFS(M252&gt;59, "Pension Age", M252&gt;44, "Elderly (45+)", M252&gt;29, "Middle Age (30+)", M252&gt;22, "Adult (23+)", M252&gt;15, "Teen/Young Adult (16+)")</f>
        <v>Pension Age</v>
      </c>
      <c r="O252" s="3" t="s">
        <v>15</v>
      </c>
    </row>
    <row r="253" spans="1:15" x14ac:dyDescent="0.3">
      <c r="A253" s="4">
        <v>18172</v>
      </c>
      <c r="B253" s="3" t="s">
        <v>39</v>
      </c>
      <c r="C253" s="3" t="s">
        <v>42</v>
      </c>
      <c r="D253" s="11">
        <v>130000</v>
      </c>
      <c r="E253" s="9" t="str" cm="1">
        <f t="array" ref="E253">_xlfn.IFS(D253&gt;149000, "Very High", D253&gt;99000, "High", D253&gt;59999, "Average", D253&gt;19999, "Low", D253&gt;0, "Poverty")</f>
        <v>High</v>
      </c>
      <c r="F253" s="3">
        <v>4</v>
      </c>
      <c r="G253" t="s">
        <v>27</v>
      </c>
      <c r="H253" t="s">
        <v>21</v>
      </c>
      <c r="I253" s="3" t="s">
        <v>15</v>
      </c>
      <c r="J253" s="3">
        <v>3</v>
      </c>
      <c r="K253" t="s">
        <v>16</v>
      </c>
      <c r="L253" t="s">
        <v>17</v>
      </c>
      <c r="M253" s="3">
        <v>55</v>
      </c>
      <c r="N253" s="3" t="str" cm="1">
        <f t="array" ref="N253">_xlfn.IFS(M253&gt;59, "Pension Age", M253&gt;44, "Elderly (45+)", M253&gt;29, "Middle Age (30+)", M253&gt;22, "Adult (23+)", M253&gt;15, "Teen/Young Adult (16+)")</f>
        <v>Elderly (45+)</v>
      </c>
      <c r="O253" s="3" t="s">
        <v>18</v>
      </c>
    </row>
    <row r="254" spans="1:15" x14ac:dyDescent="0.3">
      <c r="A254" s="4">
        <v>12666</v>
      </c>
      <c r="B254" s="3" t="s">
        <v>40</v>
      </c>
      <c r="C254" s="3" t="s">
        <v>42</v>
      </c>
      <c r="D254" s="11">
        <v>60000</v>
      </c>
      <c r="E254" s="9" t="str" cm="1">
        <f t="array" ref="E254">_xlfn.IFS(D254&gt;149000, "Very High", D254&gt;99000, "High", D254&gt;59999, "Average", D254&gt;19999, "Low", D254&gt;0, "Poverty")</f>
        <v>Average</v>
      </c>
      <c r="F254" s="3">
        <v>0</v>
      </c>
      <c r="G254" t="s">
        <v>13</v>
      </c>
      <c r="H254" t="s">
        <v>21</v>
      </c>
      <c r="I254" s="3" t="s">
        <v>18</v>
      </c>
      <c r="J254" s="3">
        <v>4</v>
      </c>
      <c r="K254" t="s">
        <v>22</v>
      </c>
      <c r="L254" t="s">
        <v>24</v>
      </c>
      <c r="M254" s="3">
        <v>31</v>
      </c>
      <c r="N254" s="3" t="str" cm="1">
        <f t="array" ref="N254">_xlfn.IFS(M254&gt;59, "Pension Age", M254&gt;44, "Elderly (45+)", M254&gt;29, "Middle Age (30+)", M254&gt;22, "Adult (23+)", M254&gt;15, "Teen/Young Adult (16+)")</f>
        <v>Middle Age (30+)</v>
      </c>
      <c r="O254" s="3" t="s">
        <v>18</v>
      </c>
    </row>
    <row r="255" spans="1:15" x14ac:dyDescent="0.3">
      <c r="A255" s="4">
        <v>20598</v>
      </c>
      <c r="B255" s="3" t="s">
        <v>39</v>
      </c>
      <c r="C255" s="3" t="s">
        <v>42</v>
      </c>
      <c r="D255" s="11">
        <v>100000</v>
      </c>
      <c r="E255" s="9" t="str" cm="1">
        <f t="array" ref="E255">_xlfn.IFS(D255&gt;149000, "Very High", D255&gt;99000, "High", D255&gt;59999, "Average", D255&gt;19999, "Low", D255&gt;0, "Poverty")</f>
        <v>High</v>
      </c>
      <c r="F255" s="3">
        <v>3</v>
      </c>
      <c r="G255" t="s">
        <v>29</v>
      </c>
      <c r="H255" t="s">
        <v>21</v>
      </c>
      <c r="I255" s="3" t="s">
        <v>15</v>
      </c>
      <c r="J255" s="3">
        <v>0</v>
      </c>
      <c r="K255" t="s">
        <v>30</v>
      </c>
      <c r="L255" t="s">
        <v>17</v>
      </c>
      <c r="M255" s="3">
        <v>59</v>
      </c>
      <c r="N255" s="3" t="str" cm="1">
        <f t="array" ref="N255">_xlfn.IFS(M255&gt;59, "Pension Age", M255&gt;44, "Elderly (45+)", M255&gt;29, "Middle Age (30+)", M255&gt;22, "Adult (23+)", M255&gt;15, "Teen/Young Adult (16+)")</f>
        <v>Elderly (45+)</v>
      </c>
      <c r="O255" s="3" t="s">
        <v>15</v>
      </c>
    </row>
    <row r="256" spans="1:15" x14ac:dyDescent="0.3">
      <c r="A256" s="4">
        <v>21375</v>
      </c>
      <c r="B256" s="3" t="s">
        <v>40</v>
      </c>
      <c r="C256" s="3" t="s">
        <v>42</v>
      </c>
      <c r="D256" s="11">
        <v>20000</v>
      </c>
      <c r="E256" s="9" t="str" cm="1">
        <f t="array" ref="E256">_xlfn.IFS(D256&gt;149000, "Very High", D256&gt;99000, "High", D256&gt;59999, "Average", D256&gt;19999, "Low", D256&gt;0, "Poverty")</f>
        <v>Low</v>
      </c>
      <c r="F256" s="3">
        <v>2</v>
      </c>
      <c r="G256" t="s">
        <v>29</v>
      </c>
      <c r="H256" t="s">
        <v>20</v>
      </c>
      <c r="I256" s="3" t="s">
        <v>15</v>
      </c>
      <c r="J256" s="3">
        <v>2</v>
      </c>
      <c r="K256" t="s">
        <v>23</v>
      </c>
      <c r="L256" t="s">
        <v>24</v>
      </c>
      <c r="M256" s="3">
        <v>57</v>
      </c>
      <c r="N256" s="3" t="str" cm="1">
        <f t="array" ref="N256">_xlfn.IFS(M256&gt;59, "Pension Age", M256&gt;44, "Elderly (45+)", M256&gt;29, "Middle Age (30+)", M256&gt;22, "Adult (23+)", M256&gt;15, "Teen/Young Adult (16+)")</f>
        <v>Elderly (45+)</v>
      </c>
      <c r="O256" s="3" t="s">
        <v>18</v>
      </c>
    </row>
    <row r="257" spans="1:15" x14ac:dyDescent="0.3">
      <c r="A257" s="4">
        <v>20839</v>
      </c>
      <c r="B257" s="3" t="s">
        <v>40</v>
      </c>
      <c r="C257" s="3" t="s">
        <v>41</v>
      </c>
      <c r="D257" s="11">
        <v>30000</v>
      </c>
      <c r="E257" s="9" t="str" cm="1">
        <f t="array" ref="E257">_xlfn.IFS(D257&gt;149000, "Very High", D257&gt;99000, "High", D257&gt;59999, "Average", D257&gt;19999, "Low", D257&gt;0, "Poverty")</f>
        <v>Low</v>
      </c>
      <c r="F257" s="3">
        <v>3</v>
      </c>
      <c r="G257" t="s">
        <v>31</v>
      </c>
      <c r="H257" t="s">
        <v>20</v>
      </c>
      <c r="I257" s="3" t="s">
        <v>15</v>
      </c>
      <c r="J257" s="3">
        <v>0</v>
      </c>
      <c r="K257" t="s">
        <v>16</v>
      </c>
      <c r="L257" t="s">
        <v>17</v>
      </c>
      <c r="M257" s="3">
        <v>47</v>
      </c>
      <c r="N257" s="3" t="str" cm="1">
        <f t="array" ref="N257">_xlfn.IFS(M257&gt;59, "Pension Age", M257&gt;44, "Elderly (45+)", M257&gt;29, "Middle Age (30+)", M257&gt;22, "Adult (23+)", M257&gt;15, "Teen/Young Adult (16+)")</f>
        <v>Elderly (45+)</v>
      </c>
      <c r="O257" s="3" t="s">
        <v>15</v>
      </c>
    </row>
    <row r="258" spans="1:15" x14ac:dyDescent="0.3">
      <c r="A258" s="4">
        <v>21738</v>
      </c>
      <c r="B258" s="3" t="s">
        <v>39</v>
      </c>
      <c r="C258" s="3" t="s">
        <v>42</v>
      </c>
      <c r="D258" s="11">
        <v>20000</v>
      </c>
      <c r="E258" s="9" t="str" cm="1">
        <f t="array" ref="E258">_xlfn.IFS(D258&gt;149000, "Very High", D258&gt;99000, "High", D258&gt;59999, "Average", D258&gt;19999, "Low", D258&gt;0, "Poverty")</f>
        <v>Low</v>
      </c>
      <c r="F258" s="3">
        <v>1</v>
      </c>
      <c r="G258" t="s">
        <v>31</v>
      </c>
      <c r="H258" t="s">
        <v>20</v>
      </c>
      <c r="I258" s="3" t="s">
        <v>15</v>
      </c>
      <c r="J258" s="3">
        <v>0</v>
      </c>
      <c r="K258" t="s">
        <v>16</v>
      </c>
      <c r="L258" t="s">
        <v>17</v>
      </c>
      <c r="M258" s="3">
        <v>43</v>
      </c>
      <c r="N258" s="3" t="str" cm="1">
        <f t="array" ref="N258">_xlfn.IFS(M258&gt;59, "Pension Age", M258&gt;44, "Elderly (45+)", M258&gt;29, "Middle Age (30+)", M258&gt;22, "Adult (23+)", M258&gt;15, "Teen/Young Adult (16+)")</f>
        <v>Middle Age (30+)</v>
      </c>
      <c r="O258" s="3" t="s">
        <v>18</v>
      </c>
    </row>
    <row r="259" spans="1:15" x14ac:dyDescent="0.3">
      <c r="A259" s="4">
        <v>14164</v>
      </c>
      <c r="B259" s="3" t="s">
        <v>40</v>
      </c>
      <c r="C259" s="3" t="s">
        <v>41</v>
      </c>
      <c r="D259" s="11">
        <v>50000</v>
      </c>
      <c r="E259" s="9" t="str" cm="1">
        <f t="array" ref="E259">_xlfn.IFS(D259&gt;149000, "Very High", D259&gt;99000, "High", D259&gt;59999, "Average", D259&gt;19999, "Low", D259&gt;0, "Poverty")</f>
        <v>Low</v>
      </c>
      <c r="F259" s="3">
        <v>0</v>
      </c>
      <c r="G259" t="s">
        <v>31</v>
      </c>
      <c r="H259" t="s">
        <v>14</v>
      </c>
      <c r="I259" s="3" t="s">
        <v>15</v>
      </c>
      <c r="J259" s="3">
        <v>0</v>
      </c>
      <c r="K259" t="s">
        <v>16</v>
      </c>
      <c r="L259" t="s">
        <v>17</v>
      </c>
      <c r="M259" s="3">
        <v>36</v>
      </c>
      <c r="N259" s="3" t="str" cm="1">
        <f t="array" ref="N259">_xlfn.IFS(M259&gt;59, "Pension Age", M259&gt;44, "Elderly (45+)", M259&gt;29, "Middle Age (30+)", M259&gt;22, "Adult (23+)", M259&gt;15, "Teen/Young Adult (16+)")</f>
        <v>Middle Age (30+)</v>
      </c>
      <c r="O259" s="3" t="s">
        <v>15</v>
      </c>
    </row>
    <row r="260" spans="1:15" x14ac:dyDescent="0.3">
      <c r="A260" s="4">
        <v>14193</v>
      </c>
      <c r="B260" s="3" t="s">
        <v>40</v>
      </c>
      <c r="C260" s="3" t="s">
        <v>41</v>
      </c>
      <c r="D260" s="11">
        <v>100000</v>
      </c>
      <c r="E260" s="9" t="str" cm="1">
        <f t="array" ref="E260">_xlfn.IFS(D260&gt;149000, "Very High", D260&gt;99000, "High", D260&gt;59999, "Average", D260&gt;19999, "Low", D260&gt;0, "Poverty")</f>
        <v>High</v>
      </c>
      <c r="F260" s="3">
        <v>3</v>
      </c>
      <c r="G260" t="s">
        <v>19</v>
      </c>
      <c r="H260" t="s">
        <v>28</v>
      </c>
      <c r="I260" s="3" t="s">
        <v>15</v>
      </c>
      <c r="J260" s="3">
        <v>4</v>
      </c>
      <c r="K260" t="s">
        <v>30</v>
      </c>
      <c r="L260" t="s">
        <v>17</v>
      </c>
      <c r="M260" s="3">
        <v>56</v>
      </c>
      <c r="N260" s="3" t="str" cm="1">
        <f t="array" ref="N260">_xlfn.IFS(M260&gt;59, "Pension Age", M260&gt;44, "Elderly (45+)", M260&gt;29, "Middle Age (30+)", M260&gt;22, "Adult (23+)", M260&gt;15, "Teen/Young Adult (16+)")</f>
        <v>Elderly (45+)</v>
      </c>
      <c r="O260" s="3" t="s">
        <v>18</v>
      </c>
    </row>
    <row r="261" spans="1:15" x14ac:dyDescent="0.3">
      <c r="A261" s="4">
        <v>12705</v>
      </c>
      <c r="B261" s="3" t="s">
        <v>39</v>
      </c>
      <c r="C261" s="3" t="s">
        <v>42</v>
      </c>
      <c r="D261" s="11">
        <v>150000</v>
      </c>
      <c r="E261" s="9" t="str" cm="1">
        <f t="array" ref="E261">_xlfn.IFS(D261&gt;149000, "Very High", D261&gt;99000, "High", D261&gt;59999, "Average", D261&gt;19999, "Low", D261&gt;0, "Poverty")</f>
        <v>Very High</v>
      </c>
      <c r="F261" s="3">
        <v>0</v>
      </c>
      <c r="G261" t="s">
        <v>13</v>
      </c>
      <c r="H261" t="s">
        <v>28</v>
      </c>
      <c r="I261" s="3" t="s">
        <v>15</v>
      </c>
      <c r="J261" s="3">
        <v>4</v>
      </c>
      <c r="K261" t="s">
        <v>16</v>
      </c>
      <c r="L261" t="s">
        <v>24</v>
      </c>
      <c r="M261" s="3">
        <v>37</v>
      </c>
      <c r="N261" s="3" t="str" cm="1">
        <f t="array" ref="N261">_xlfn.IFS(M261&gt;59, "Pension Age", M261&gt;44, "Elderly (45+)", M261&gt;29, "Middle Age (30+)", M261&gt;22, "Adult (23+)", M261&gt;15, "Teen/Young Adult (16+)")</f>
        <v>Middle Age (30+)</v>
      </c>
      <c r="O261" s="3" t="s">
        <v>15</v>
      </c>
    </row>
    <row r="262" spans="1:15" x14ac:dyDescent="0.3">
      <c r="A262" s="4">
        <v>22672</v>
      </c>
      <c r="B262" s="3" t="s">
        <v>40</v>
      </c>
      <c r="C262" s="3" t="s">
        <v>41</v>
      </c>
      <c r="D262" s="11">
        <v>30000</v>
      </c>
      <c r="E262" s="9" t="str" cm="1">
        <f t="array" ref="E262">_xlfn.IFS(D262&gt;149000, "Very High", D262&gt;99000, "High", D262&gt;59999, "Average", D262&gt;19999, "Low", D262&gt;0, "Poverty")</f>
        <v>Low</v>
      </c>
      <c r="F262" s="3">
        <v>2</v>
      </c>
      <c r="G262" t="s">
        <v>19</v>
      </c>
      <c r="H262" t="s">
        <v>20</v>
      </c>
      <c r="I262" s="3" t="s">
        <v>15</v>
      </c>
      <c r="J262" s="3">
        <v>0</v>
      </c>
      <c r="K262" t="s">
        <v>16</v>
      </c>
      <c r="L262" t="s">
        <v>17</v>
      </c>
      <c r="M262" s="3">
        <v>43</v>
      </c>
      <c r="N262" s="3" t="str" cm="1">
        <f t="array" ref="N262">_xlfn.IFS(M262&gt;59, "Pension Age", M262&gt;44, "Elderly (45+)", M262&gt;29, "Middle Age (30+)", M262&gt;22, "Adult (23+)", M262&gt;15, "Teen/Young Adult (16+)")</f>
        <v>Middle Age (30+)</v>
      </c>
      <c r="O262" s="3" t="s">
        <v>18</v>
      </c>
    </row>
    <row r="263" spans="1:15" x14ac:dyDescent="0.3">
      <c r="A263" s="4">
        <v>26219</v>
      </c>
      <c r="B263" s="3" t="s">
        <v>39</v>
      </c>
      <c r="C263" s="3" t="s">
        <v>41</v>
      </c>
      <c r="D263" s="11">
        <v>40000</v>
      </c>
      <c r="E263" s="9" t="str" cm="1">
        <f t="array" ref="E263">_xlfn.IFS(D263&gt;149000, "Very High", D263&gt;99000, "High", D263&gt;59999, "Average", D263&gt;19999, "Low", D263&gt;0, "Poverty")</f>
        <v>Low</v>
      </c>
      <c r="F263" s="3">
        <v>1</v>
      </c>
      <c r="G263" t="s">
        <v>13</v>
      </c>
      <c r="H263" t="s">
        <v>14</v>
      </c>
      <c r="I263" s="3" t="s">
        <v>15</v>
      </c>
      <c r="J263" s="3">
        <v>1</v>
      </c>
      <c r="K263" t="s">
        <v>26</v>
      </c>
      <c r="L263" t="s">
        <v>17</v>
      </c>
      <c r="M263" s="3">
        <v>33</v>
      </c>
      <c r="N263" s="3" t="str" cm="1">
        <f t="array" ref="N263">_xlfn.IFS(M263&gt;59, "Pension Age", M263&gt;44, "Elderly (45+)", M263&gt;29, "Middle Age (30+)", M263&gt;22, "Adult (23+)", M263&gt;15, "Teen/Young Adult (16+)")</f>
        <v>Middle Age (30+)</v>
      </c>
      <c r="O263" s="3" t="s">
        <v>15</v>
      </c>
    </row>
    <row r="264" spans="1:15" x14ac:dyDescent="0.3">
      <c r="A264" s="4">
        <v>28468</v>
      </c>
      <c r="B264" s="3" t="s">
        <v>39</v>
      </c>
      <c r="C264" s="3" t="s">
        <v>41</v>
      </c>
      <c r="D264" s="11">
        <v>10000</v>
      </c>
      <c r="E264" s="9" t="str" cm="1">
        <f t="array" ref="E264">_xlfn.IFS(D264&gt;149000, "Very High", D264&gt;99000, "High", D264&gt;59999, "Average", D264&gt;19999, "Low", D264&gt;0, "Poverty")</f>
        <v>Poverty</v>
      </c>
      <c r="F264" s="3">
        <v>2</v>
      </c>
      <c r="G264" t="s">
        <v>19</v>
      </c>
      <c r="H264" t="s">
        <v>25</v>
      </c>
      <c r="I264" s="3" t="s">
        <v>15</v>
      </c>
      <c r="J264" s="3">
        <v>0</v>
      </c>
      <c r="K264" t="s">
        <v>26</v>
      </c>
      <c r="L264" t="s">
        <v>17</v>
      </c>
      <c r="M264" s="3">
        <v>51</v>
      </c>
      <c r="N264" s="3" t="str" cm="1">
        <f t="array" ref="N264">_xlfn.IFS(M264&gt;59, "Pension Age", M264&gt;44, "Elderly (45+)", M264&gt;29, "Middle Age (30+)", M264&gt;22, "Adult (23+)", M264&gt;15, "Teen/Young Adult (16+)")</f>
        <v>Elderly (45+)</v>
      </c>
      <c r="O264" s="3" t="s">
        <v>18</v>
      </c>
    </row>
    <row r="265" spans="1:15" x14ac:dyDescent="0.3">
      <c r="A265" s="4">
        <v>23419</v>
      </c>
      <c r="B265" s="3" t="s">
        <v>40</v>
      </c>
      <c r="C265" s="3" t="s">
        <v>41</v>
      </c>
      <c r="D265" s="11">
        <v>70000</v>
      </c>
      <c r="E265" s="9" t="str" cm="1">
        <f t="array" ref="E265">_xlfn.IFS(D265&gt;149000, "Very High", D265&gt;99000, "High", D265&gt;59999, "Average", D265&gt;19999, "Low", D265&gt;0, "Poverty")</f>
        <v>Average</v>
      </c>
      <c r="F265" s="3">
        <v>5</v>
      </c>
      <c r="G265" t="s">
        <v>13</v>
      </c>
      <c r="H265" t="s">
        <v>21</v>
      </c>
      <c r="I265" s="3" t="s">
        <v>15</v>
      </c>
      <c r="J265" s="3">
        <v>3</v>
      </c>
      <c r="K265" t="s">
        <v>30</v>
      </c>
      <c r="L265" t="s">
        <v>24</v>
      </c>
      <c r="M265" s="3">
        <v>39</v>
      </c>
      <c r="N265" s="3" t="str" cm="1">
        <f t="array" ref="N265">_xlfn.IFS(M265&gt;59, "Pension Age", M265&gt;44, "Elderly (45+)", M265&gt;29, "Middle Age (30+)", M265&gt;22, "Adult (23+)", M265&gt;15, "Teen/Young Adult (16+)")</f>
        <v>Middle Age (30+)</v>
      </c>
      <c r="O265" s="3" t="s">
        <v>18</v>
      </c>
    </row>
    <row r="266" spans="1:15" x14ac:dyDescent="0.3">
      <c r="A266" s="4">
        <v>17964</v>
      </c>
      <c r="B266" s="3" t="s">
        <v>39</v>
      </c>
      <c r="C266" s="3" t="s">
        <v>42</v>
      </c>
      <c r="D266" s="11">
        <v>40000</v>
      </c>
      <c r="E266" s="9" t="str" cm="1">
        <f t="array" ref="E266">_xlfn.IFS(D266&gt;149000, "Very High", D266&gt;99000, "High", D266&gt;59999, "Average", D266&gt;19999, "Low", D266&gt;0, "Poverty")</f>
        <v>Low</v>
      </c>
      <c r="F266" s="3">
        <v>0</v>
      </c>
      <c r="G266" t="s">
        <v>31</v>
      </c>
      <c r="H266" t="s">
        <v>20</v>
      </c>
      <c r="I266" s="3" t="s">
        <v>15</v>
      </c>
      <c r="J266" s="3">
        <v>0</v>
      </c>
      <c r="K266" t="s">
        <v>16</v>
      </c>
      <c r="L266" t="s">
        <v>17</v>
      </c>
      <c r="M266" s="3">
        <v>37</v>
      </c>
      <c r="N266" s="3" t="str" cm="1">
        <f t="array" ref="N266">_xlfn.IFS(M266&gt;59, "Pension Age", M266&gt;44, "Elderly (45+)", M266&gt;29, "Middle Age (30+)", M266&gt;22, "Adult (23+)", M266&gt;15, "Teen/Young Adult (16+)")</f>
        <v>Middle Age (30+)</v>
      </c>
      <c r="O266" s="3" t="s">
        <v>15</v>
      </c>
    </row>
    <row r="267" spans="1:15" x14ac:dyDescent="0.3">
      <c r="A267" s="4">
        <v>20919</v>
      </c>
      <c r="B267" s="3" t="s">
        <v>40</v>
      </c>
      <c r="C267" s="3" t="s">
        <v>41</v>
      </c>
      <c r="D267" s="11">
        <v>30000</v>
      </c>
      <c r="E267" s="9" t="str" cm="1">
        <f t="array" ref="E267">_xlfn.IFS(D267&gt;149000, "Very High", D267&gt;99000, "High", D267&gt;59999, "Average", D267&gt;19999, "Low", D267&gt;0, "Poverty")</f>
        <v>Low</v>
      </c>
      <c r="F267" s="3">
        <v>2</v>
      </c>
      <c r="G267" t="s">
        <v>19</v>
      </c>
      <c r="H267" t="s">
        <v>20</v>
      </c>
      <c r="I267" s="3" t="s">
        <v>15</v>
      </c>
      <c r="J267" s="3">
        <v>2</v>
      </c>
      <c r="K267" t="s">
        <v>16</v>
      </c>
      <c r="L267" t="s">
        <v>17</v>
      </c>
      <c r="M267" s="3">
        <v>42</v>
      </c>
      <c r="N267" s="3" t="str" cm="1">
        <f t="array" ref="N267">_xlfn.IFS(M267&gt;59, "Pension Age", M267&gt;44, "Elderly (45+)", M267&gt;29, "Middle Age (30+)", M267&gt;22, "Adult (23+)", M267&gt;15, "Teen/Young Adult (16+)")</f>
        <v>Middle Age (30+)</v>
      </c>
      <c r="O267" s="3" t="s">
        <v>18</v>
      </c>
    </row>
    <row r="268" spans="1:15" x14ac:dyDescent="0.3">
      <c r="A268" s="4">
        <v>20927</v>
      </c>
      <c r="B268" s="3" t="s">
        <v>40</v>
      </c>
      <c r="C268" s="3" t="s">
        <v>41</v>
      </c>
      <c r="D268" s="11">
        <v>20000</v>
      </c>
      <c r="E268" s="9" t="str" cm="1">
        <f t="array" ref="E268">_xlfn.IFS(D268&gt;149000, "Very High", D268&gt;99000, "High", D268&gt;59999, "Average", D268&gt;19999, "Low", D268&gt;0, "Poverty")</f>
        <v>Low</v>
      </c>
      <c r="F268" s="3">
        <v>5</v>
      </c>
      <c r="G268" t="s">
        <v>27</v>
      </c>
      <c r="H268" t="s">
        <v>25</v>
      </c>
      <c r="I268" s="3" t="s">
        <v>15</v>
      </c>
      <c r="J268" s="3">
        <v>2</v>
      </c>
      <c r="K268" t="s">
        <v>16</v>
      </c>
      <c r="L268" t="s">
        <v>17</v>
      </c>
      <c r="M268" s="3">
        <v>27</v>
      </c>
      <c r="N268" s="3" t="str" cm="1">
        <f t="array" ref="N268">_xlfn.IFS(M268&gt;59, "Pension Age", M268&gt;44, "Elderly (45+)", M268&gt;29, "Middle Age (30+)", M268&gt;22, "Adult (23+)", M268&gt;15, "Teen/Young Adult (16+)")</f>
        <v>Adult (23+)</v>
      </c>
      <c r="O268" s="3" t="s">
        <v>18</v>
      </c>
    </row>
    <row r="269" spans="1:15" x14ac:dyDescent="0.3">
      <c r="A269" s="4">
        <v>13133</v>
      </c>
      <c r="B269" s="3" t="s">
        <v>40</v>
      </c>
      <c r="C269" s="3" t="s">
        <v>42</v>
      </c>
      <c r="D269" s="11">
        <v>100000</v>
      </c>
      <c r="E269" s="9" t="str" cm="1">
        <f t="array" ref="E269">_xlfn.IFS(D269&gt;149000, "Very High", D269&gt;99000, "High", D269&gt;59999, "Average", D269&gt;19999, "Low", D269&gt;0, "Poverty")</f>
        <v>High</v>
      </c>
      <c r="F269" s="3">
        <v>5</v>
      </c>
      <c r="G269" t="s">
        <v>13</v>
      </c>
      <c r="H269" t="s">
        <v>21</v>
      </c>
      <c r="I269" s="3" t="s">
        <v>15</v>
      </c>
      <c r="J269" s="3">
        <v>1</v>
      </c>
      <c r="K269" t="s">
        <v>23</v>
      </c>
      <c r="L269" t="s">
        <v>24</v>
      </c>
      <c r="M269" s="3">
        <v>47</v>
      </c>
      <c r="N269" s="3" t="str" cm="1">
        <f t="array" ref="N269">_xlfn.IFS(M269&gt;59, "Pension Age", M269&gt;44, "Elderly (45+)", M269&gt;29, "Middle Age (30+)", M269&gt;22, "Adult (23+)", M269&gt;15, "Teen/Young Adult (16+)")</f>
        <v>Elderly (45+)</v>
      </c>
      <c r="O269" s="3" t="s">
        <v>15</v>
      </c>
    </row>
    <row r="270" spans="1:15" x14ac:dyDescent="0.3">
      <c r="A270" s="4">
        <v>19626</v>
      </c>
      <c r="B270" s="3" t="s">
        <v>39</v>
      </c>
      <c r="C270" s="3" t="s">
        <v>42</v>
      </c>
      <c r="D270" s="11">
        <v>70000</v>
      </c>
      <c r="E270" s="9" t="str" cm="1">
        <f t="array" ref="E270">_xlfn.IFS(D270&gt;149000, "Very High", D270&gt;99000, "High", D270&gt;59999, "Average", D270&gt;19999, "Low", D270&gt;0, "Poverty")</f>
        <v>Average</v>
      </c>
      <c r="F270" s="3">
        <v>5</v>
      </c>
      <c r="G270" t="s">
        <v>19</v>
      </c>
      <c r="H270" t="s">
        <v>14</v>
      </c>
      <c r="I270" s="3" t="s">
        <v>15</v>
      </c>
      <c r="J270" s="3">
        <v>3</v>
      </c>
      <c r="K270" t="s">
        <v>23</v>
      </c>
      <c r="L270" t="s">
        <v>24</v>
      </c>
      <c r="M270" s="3">
        <v>45</v>
      </c>
      <c r="N270" s="3" t="str" cm="1">
        <f t="array" ref="N270">_xlfn.IFS(M270&gt;59, "Pension Age", M270&gt;44, "Elderly (45+)", M270&gt;29, "Middle Age (30+)", M270&gt;22, "Adult (23+)", M270&gt;15, "Teen/Young Adult (16+)")</f>
        <v>Elderly (45+)</v>
      </c>
      <c r="O270" s="3" t="s">
        <v>18</v>
      </c>
    </row>
    <row r="271" spans="1:15" x14ac:dyDescent="0.3">
      <c r="A271" s="4">
        <v>21039</v>
      </c>
      <c r="B271" s="3" t="s">
        <v>40</v>
      </c>
      <c r="C271" s="3" t="s">
        <v>41</v>
      </c>
      <c r="D271" s="11">
        <v>50000</v>
      </c>
      <c r="E271" s="9" t="str" cm="1">
        <f t="array" ref="E271">_xlfn.IFS(D271&gt;149000, "Very High", D271&gt;99000, "High", D271&gt;59999, "Average", D271&gt;19999, "Low", D271&gt;0, "Poverty")</f>
        <v>Low</v>
      </c>
      <c r="F271" s="3">
        <v>0</v>
      </c>
      <c r="G271" t="s">
        <v>31</v>
      </c>
      <c r="H271" t="s">
        <v>14</v>
      </c>
      <c r="I271" s="3" t="s">
        <v>18</v>
      </c>
      <c r="J271" s="3">
        <v>0</v>
      </c>
      <c r="K271" t="s">
        <v>16</v>
      </c>
      <c r="L271" t="s">
        <v>17</v>
      </c>
      <c r="M271" s="3">
        <v>37</v>
      </c>
      <c r="N271" s="3" t="str" cm="1">
        <f t="array" ref="N271">_xlfn.IFS(M271&gt;59, "Pension Age", M271&gt;44, "Elderly (45+)", M271&gt;29, "Middle Age (30+)", M271&gt;22, "Adult (23+)", M271&gt;15, "Teen/Young Adult (16+)")</f>
        <v>Middle Age (30+)</v>
      </c>
      <c r="O271" s="3" t="s">
        <v>15</v>
      </c>
    </row>
    <row r="272" spans="1:15" x14ac:dyDescent="0.3">
      <c r="A272" s="4">
        <v>12231</v>
      </c>
      <c r="B272" s="3" t="s">
        <v>40</v>
      </c>
      <c r="C272" s="3" t="s">
        <v>41</v>
      </c>
      <c r="D272" s="11">
        <v>10000</v>
      </c>
      <c r="E272" s="9" t="str" cm="1">
        <f t="array" ref="E272">_xlfn.IFS(D272&gt;149000, "Very High", D272&gt;99000, "High", D272&gt;59999, "Average", D272&gt;19999, "Low", D272&gt;0, "Poverty")</f>
        <v>Poverty</v>
      </c>
      <c r="F272" s="3">
        <v>2</v>
      </c>
      <c r="G272" t="s">
        <v>19</v>
      </c>
      <c r="H272" t="s">
        <v>25</v>
      </c>
      <c r="I272" s="3" t="s">
        <v>15</v>
      </c>
      <c r="J272" s="3">
        <v>0</v>
      </c>
      <c r="K272" t="s">
        <v>16</v>
      </c>
      <c r="L272" t="s">
        <v>17</v>
      </c>
      <c r="M272" s="3">
        <v>51</v>
      </c>
      <c r="N272" s="3" t="str" cm="1">
        <f t="array" ref="N272">_xlfn.IFS(M272&gt;59, "Pension Age", M272&gt;44, "Elderly (45+)", M272&gt;29, "Middle Age (30+)", M272&gt;22, "Adult (23+)", M272&gt;15, "Teen/Young Adult (16+)")</f>
        <v>Elderly (45+)</v>
      </c>
      <c r="O272" s="3" t="s">
        <v>15</v>
      </c>
    </row>
    <row r="273" spans="1:15" x14ac:dyDescent="0.3">
      <c r="A273" s="4">
        <v>25665</v>
      </c>
      <c r="B273" s="3" t="s">
        <v>40</v>
      </c>
      <c r="C273" s="3" t="s">
        <v>41</v>
      </c>
      <c r="D273" s="11">
        <v>20000</v>
      </c>
      <c r="E273" s="9" t="str" cm="1">
        <f t="array" ref="E273">_xlfn.IFS(D273&gt;149000, "Very High", D273&gt;99000, "High", D273&gt;59999, "Average", D273&gt;19999, "Low", D273&gt;0, "Poverty")</f>
        <v>Low</v>
      </c>
      <c r="F273" s="3">
        <v>0</v>
      </c>
      <c r="G273" t="s">
        <v>27</v>
      </c>
      <c r="H273" t="s">
        <v>25</v>
      </c>
      <c r="I273" s="3" t="s">
        <v>18</v>
      </c>
      <c r="J273" s="3">
        <v>1</v>
      </c>
      <c r="K273" t="s">
        <v>26</v>
      </c>
      <c r="L273" t="s">
        <v>17</v>
      </c>
      <c r="M273" s="3">
        <v>28</v>
      </c>
      <c r="N273" s="3" t="str" cm="1">
        <f t="array" ref="N273">_xlfn.IFS(M273&gt;59, "Pension Age", M273&gt;44, "Elderly (45+)", M273&gt;29, "Middle Age (30+)", M273&gt;22, "Adult (23+)", M273&gt;15, "Teen/Young Adult (16+)")</f>
        <v>Adult (23+)</v>
      </c>
      <c r="O273" s="3" t="s">
        <v>18</v>
      </c>
    </row>
    <row r="274" spans="1:15" x14ac:dyDescent="0.3">
      <c r="A274" s="4">
        <v>24061</v>
      </c>
      <c r="B274" s="3" t="s">
        <v>39</v>
      </c>
      <c r="C274" s="3" t="s">
        <v>42</v>
      </c>
      <c r="D274" s="11">
        <v>10000</v>
      </c>
      <c r="E274" s="9" t="str" cm="1">
        <f t="array" ref="E274">_xlfn.IFS(D274&gt;149000, "Very High", D274&gt;99000, "High", D274&gt;59999, "Average", D274&gt;19999, "Low", D274&gt;0, "Poverty")</f>
        <v>Poverty</v>
      </c>
      <c r="F274" s="3">
        <v>4</v>
      </c>
      <c r="G274" t="s">
        <v>29</v>
      </c>
      <c r="H274" t="s">
        <v>25</v>
      </c>
      <c r="I274" s="3" t="s">
        <v>15</v>
      </c>
      <c r="J274" s="3">
        <v>1</v>
      </c>
      <c r="K274" t="s">
        <v>16</v>
      </c>
      <c r="L274" t="s">
        <v>17</v>
      </c>
      <c r="M274" s="3">
        <v>40</v>
      </c>
      <c r="N274" s="3" t="str" cm="1">
        <f t="array" ref="N274">_xlfn.IFS(M274&gt;59, "Pension Age", M274&gt;44, "Elderly (45+)", M274&gt;29, "Middle Age (30+)", M274&gt;22, "Adult (23+)", M274&gt;15, "Teen/Young Adult (16+)")</f>
        <v>Middle Age (30+)</v>
      </c>
      <c r="O274" s="3" t="s">
        <v>15</v>
      </c>
    </row>
    <row r="275" spans="1:15" x14ac:dyDescent="0.3">
      <c r="A275" s="4">
        <v>26879</v>
      </c>
      <c r="B275" s="3" t="s">
        <v>40</v>
      </c>
      <c r="C275" s="3" t="s">
        <v>41</v>
      </c>
      <c r="D275" s="11">
        <v>20000</v>
      </c>
      <c r="E275" s="9" t="str" cm="1">
        <f t="array" ref="E275">_xlfn.IFS(D275&gt;149000, "Very High", D275&gt;99000, "High", D275&gt;59999, "Average", D275&gt;19999, "Low", D275&gt;0, "Poverty")</f>
        <v>Low</v>
      </c>
      <c r="F275" s="3">
        <v>0</v>
      </c>
      <c r="G275" t="s">
        <v>27</v>
      </c>
      <c r="H275" t="s">
        <v>25</v>
      </c>
      <c r="I275" s="3" t="s">
        <v>18</v>
      </c>
      <c r="J275" s="3">
        <v>1</v>
      </c>
      <c r="K275" t="s">
        <v>22</v>
      </c>
      <c r="L275" t="s">
        <v>17</v>
      </c>
      <c r="M275" s="3">
        <v>30</v>
      </c>
      <c r="N275" s="3" t="str" cm="1">
        <f t="array" ref="N275">_xlfn.IFS(M275&gt;59, "Pension Age", M275&gt;44, "Elderly (45+)", M275&gt;29, "Middle Age (30+)", M275&gt;22, "Adult (23+)", M275&gt;15, "Teen/Young Adult (16+)")</f>
        <v>Middle Age (30+)</v>
      </c>
      <c r="O275" s="3" t="s">
        <v>18</v>
      </c>
    </row>
    <row r="276" spans="1:15" x14ac:dyDescent="0.3">
      <c r="A276" s="4">
        <v>12284</v>
      </c>
      <c r="B276" s="3" t="s">
        <v>39</v>
      </c>
      <c r="C276" s="3" t="s">
        <v>41</v>
      </c>
      <c r="D276" s="11">
        <v>30000</v>
      </c>
      <c r="E276" s="9" t="str" cm="1">
        <f t="array" ref="E276">_xlfn.IFS(D276&gt;149000, "Very High", D276&gt;99000, "High", D276&gt;59999, "Average", D276&gt;19999, "Low", D276&gt;0, "Poverty")</f>
        <v>Low</v>
      </c>
      <c r="F276" s="3">
        <v>0</v>
      </c>
      <c r="G276" t="s">
        <v>13</v>
      </c>
      <c r="H276" t="s">
        <v>20</v>
      </c>
      <c r="I276" s="3" t="s">
        <v>18</v>
      </c>
      <c r="J276" s="3">
        <v>0</v>
      </c>
      <c r="K276" t="s">
        <v>16</v>
      </c>
      <c r="L276" t="s">
        <v>17</v>
      </c>
      <c r="M276" s="3">
        <v>36</v>
      </c>
      <c r="N276" s="3" t="str" cm="1">
        <f t="array" ref="N276">_xlfn.IFS(M276&gt;59, "Pension Age", M276&gt;44, "Elderly (45+)", M276&gt;29, "Middle Age (30+)", M276&gt;22, "Adult (23+)", M276&gt;15, "Teen/Young Adult (16+)")</f>
        <v>Middle Age (30+)</v>
      </c>
      <c r="O276" s="3" t="s">
        <v>15</v>
      </c>
    </row>
    <row r="277" spans="1:15" x14ac:dyDescent="0.3">
      <c r="A277" s="4">
        <v>26654</v>
      </c>
      <c r="B277" s="3" t="s">
        <v>39</v>
      </c>
      <c r="C277" s="3" t="s">
        <v>41</v>
      </c>
      <c r="D277" s="11">
        <v>90000</v>
      </c>
      <c r="E277" s="9" t="str" cm="1">
        <f t="array" ref="E277">_xlfn.IFS(D277&gt;149000, "Very High", D277&gt;99000, "High", D277&gt;59999, "Average", D277&gt;19999, "Low", D277&gt;0, "Poverty")</f>
        <v>Average</v>
      </c>
      <c r="F277" s="3">
        <v>1</v>
      </c>
      <c r="G277" t="s">
        <v>31</v>
      </c>
      <c r="H277" t="s">
        <v>28</v>
      </c>
      <c r="I277" s="3" t="s">
        <v>15</v>
      </c>
      <c r="J277" s="3">
        <v>0</v>
      </c>
      <c r="K277" t="s">
        <v>16</v>
      </c>
      <c r="L277" t="s">
        <v>24</v>
      </c>
      <c r="M277" s="3">
        <v>37</v>
      </c>
      <c r="N277" s="3" t="str" cm="1">
        <f t="array" ref="N277">_xlfn.IFS(M277&gt;59, "Pension Age", M277&gt;44, "Elderly (45+)", M277&gt;29, "Middle Age (30+)", M277&gt;22, "Adult (23+)", M277&gt;15, "Teen/Young Adult (16+)")</f>
        <v>Middle Age (30+)</v>
      </c>
      <c r="O277" s="3" t="s">
        <v>15</v>
      </c>
    </row>
    <row r="278" spans="1:15" x14ac:dyDescent="0.3">
      <c r="A278" s="4">
        <v>14545</v>
      </c>
      <c r="B278" s="3" t="s">
        <v>39</v>
      </c>
      <c r="C278" s="3" t="s">
        <v>41</v>
      </c>
      <c r="D278" s="11">
        <v>10000</v>
      </c>
      <c r="E278" s="9" t="str" cm="1">
        <f t="array" ref="E278">_xlfn.IFS(D278&gt;149000, "Very High", D278&gt;99000, "High", D278&gt;59999, "Average", D278&gt;19999, "Low", D278&gt;0, "Poverty")</f>
        <v>Poverty</v>
      </c>
      <c r="F278" s="3">
        <v>2</v>
      </c>
      <c r="G278" t="s">
        <v>19</v>
      </c>
      <c r="H278" t="s">
        <v>25</v>
      </c>
      <c r="I278" s="3" t="s">
        <v>15</v>
      </c>
      <c r="J278" s="3">
        <v>0</v>
      </c>
      <c r="K278" t="s">
        <v>26</v>
      </c>
      <c r="L278" t="s">
        <v>17</v>
      </c>
      <c r="M278" s="3">
        <v>49</v>
      </c>
      <c r="N278" s="3" t="str" cm="1">
        <f t="array" ref="N278">_xlfn.IFS(M278&gt;59, "Pension Age", M278&gt;44, "Elderly (45+)", M278&gt;29, "Middle Age (30+)", M278&gt;22, "Adult (23+)", M278&gt;15, "Teen/Young Adult (16+)")</f>
        <v>Elderly (45+)</v>
      </c>
      <c r="O278" s="3" t="s">
        <v>18</v>
      </c>
    </row>
    <row r="279" spans="1:15" x14ac:dyDescent="0.3">
      <c r="A279" s="4">
        <v>24201</v>
      </c>
      <c r="B279" s="3" t="s">
        <v>39</v>
      </c>
      <c r="C279" s="3" t="s">
        <v>41</v>
      </c>
      <c r="D279" s="11">
        <v>10000</v>
      </c>
      <c r="E279" s="9" t="str" cm="1">
        <f t="array" ref="E279">_xlfn.IFS(D279&gt;149000, "Very High", D279&gt;99000, "High", D279&gt;59999, "Average", D279&gt;19999, "Low", D279&gt;0, "Poverty")</f>
        <v>Poverty</v>
      </c>
      <c r="F279" s="3">
        <v>2</v>
      </c>
      <c r="G279" t="s">
        <v>27</v>
      </c>
      <c r="H279" t="s">
        <v>25</v>
      </c>
      <c r="I279" s="3" t="s">
        <v>15</v>
      </c>
      <c r="J279" s="3">
        <v>0</v>
      </c>
      <c r="K279" t="s">
        <v>16</v>
      </c>
      <c r="L279" t="s">
        <v>17</v>
      </c>
      <c r="M279" s="3">
        <v>37</v>
      </c>
      <c r="N279" s="3" t="str" cm="1">
        <f t="array" ref="N279">_xlfn.IFS(M279&gt;59, "Pension Age", M279&gt;44, "Elderly (45+)", M279&gt;29, "Middle Age (30+)", M279&gt;22, "Adult (23+)", M279&gt;15, "Teen/Young Adult (16+)")</f>
        <v>Middle Age (30+)</v>
      </c>
      <c r="O279" s="3" t="s">
        <v>15</v>
      </c>
    </row>
    <row r="280" spans="1:15" x14ac:dyDescent="0.3">
      <c r="A280" s="4">
        <v>20625</v>
      </c>
      <c r="B280" s="3" t="s">
        <v>39</v>
      </c>
      <c r="C280" s="3" t="s">
        <v>42</v>
      </c>
      <c r="D280" s="11">
        <v>100000</v>
      </c>
      <c r="E280" s="9" t="str" cm="1">
        <f t="array" ref="E280">_xlfn.IFS(D280&gt;149000, "Very High", D280&gt;99000, "High", D280&gt;59999, "Average", D280&gt;19999, "Low", D280&gt;0, "Poverty")</f>
        <v>High</v>
      </c>
      <c r="F280" s="3">
        <v>0</v>
      </c>
      <c r="G280" t="s">
        <v>27</v>
      </c>
      <c r="H280" t="s">
        <v>28</v>
      </c>
      <c r="I280" s="3" t="s">
        <v>15</v>
      </c>
      <c r="J280" s="3">
        <v>3</v>
      </c>
      <c r="K280" t="s">
        <v>30</v>
      </c>
      <c r="L280" t="s">
        <v>24</v>
      </c>
      <c r="M280" s="3">
        <v>35</v>
      </c>
      <c r="N280" s="3" t="str" cm="1">
        <f t="array" ref="N280">_xlfn.IFS(M280&gt;59, "Pension Age", M280&gt;44, "Elderly (45+)", M280&gt;29, "Middle Age (30+)", M280&gt;22, "Adult (23+)", M280&gt;15, "Teen/Young Adult (16+)")</f>
        <v>Middle Age (30+)</v>
      </c>
      <c r="O280" s="3" t="s">
        <v>15</v>
      </c>
    </row>
    <row r="281" spans="1:15" x14ac:dyDescent="0.3">
      <c r="A281" s="4">
        <v>16390</v>
      </c>
      <c r="B281" s="3" t="s">
        <v>40</v>
      </c>
      <c r="C281" s="3" t="s">
        <v>42</v>
      </c>
      <c r="D281" s="11">
        <v>30000</v>
      </c>
      <c r="E281" s="9" t="str" cm="1">
        <f t="array" ref="E281">_xlfn.IFS(D281&gt;149000, "Very High", D281&gt;99000, "High", D281&gt;59999, "Average", D281&gt;19999, "Low", D281&gt;0, "Poverty")</f>
        <v>Low</v>
      </c>
      <c r="F281" s="3">
        <v>1</v>
      </c>
      <c r="G281" t="s">
        <v>13</v>
      </c>
      <c r="H281" t="s">
        <v>20</v>
      </c>
      <c r="I281" s="3" t="s">
        <v>18</v>
      </c>
      <c r="J281" s="3">
        <v>0</v>
      </c>
      <c r="K281" t="s">
        <v>16</v>
      </c>
      <c r="L281" t="s">
        <v>17</v>
      </c>
      <c r="M281" s="3">
        <v>38</v>
      </c>
      <c r="N281" s="3" t="str" cm="1">
        <f t="array" ref="N281">_xlfn.IFS(M281&gt;59, "Pension Age", M281&gt;44, "Elderly (45+)", M281&gt;29, "Middle Age (30+)", M281&gt;22, "Adult (23+)", M281&gt;15, "Teen/Young Adult (16+)")</f>
        <v>Middle Age (30+)</v>
      </c>
      <c r="O281" s="3" t="s">
        <v>15</v>
      </c>
    </row>
    <row r="282" spans="1:15" x14ac:dyDescent="0.3">
      <c r="A282" s="4">
        <v>14804</v>
      </c>
      <c r="B282" s="3" t="s">
        <v>40</v>
      </c>
      <c r="C282" s="3" t="s">
        <v>41</v>
      </c>
      <c r="D282" s="11">
        <v>10000</v>
      </c>
      <c r="E282" s="9" t="str" cm="1">
        <f t="array" ref="E282">_xlfn.IFS(D282&gt;149000, "Very High", D282&gt;99000, "High", D282&gt;59999, "Average", D282&gt;19999, "Low", D282&gt;0, "Poverty")</f>
        <v>Poverty</v>
      </c>
      <c r="F282" s="3">
        <v>3</v>
      </c>
      <c r="G282" t="s">
        <v>29</v>
      </c>
      <c r="H282" t="s">
        <v>25</v>
      </c>
      <c r="I282" s="3" t="s">
        <v>15</v>
      </c>
      <c r="J282" s="3">
        <v>2</v>
      </c>
      <c r="K282" t="s">
        <v>16</v>
      </c>
      <c r="L282" t="s">
        <v>17</v>
      </c>
      <c r="M282" s="3">
        <v>43</v>
      </c>
      <c r="N282" s="3" t="str" cm="1">
        <f t="array" ref="N282">_xlfn.IFS(M282&gt;59, "Pension Age", M282&gt;44, "Elderly (45+)", M282&gt;29, "Middle Age (30+)", M282&gt;22, "Adult (23+)", M282&gt;15, "Teen/Young Adult (16+)")</f>
        <v>Middle Age (30+)</v>
      </c>
      <c r="O282" s="3" t="s">
        <v>18</v>
      </c>
    </row>
    <row r="283" spans="1:15" x14ac:dyDescent="0.3">
      <c r="A283" s="4">
        <v>12629</v>
      </c>
      <c r="B283" s="3" t="s">
        <v>40</v>
      </c>
      <c r="C283" s="3" t="s">
        <v>42</v>
      </c>
      <c r="D283" s="11">
        <v>20000</v>
      </c>
      <c r="E283" s="9" t="str" cm="1">
        <f t="array" ref="E283">_xlfn.IFS(D283&gt;149000, "Very High", D283&gt;99000, "High", D283&gt;59999, "Average", D283&gt;19999, "Low", D283&gt;0, "Poverty")</f>
        <v>Low</v>
      </c>
      <c r="F283" s="3">
        <v>1</v>
      </c>
      <c r="G283" t="s">
        <v>19</v>
      </c>
      <c r="H283" t="s">
        <v>25</v>
      </c>
      <c r="I283" s="3" t="s">
        <v>18</v>
      </c>
      <c r="J283" s="3">
        <v>0</v>
      </c>
      <c r="K283" t="s">
        <v>16</v>
      </c>
      <c r="L283" t="s">
        <v>17</v>
      </c>
      <c r="M283" s="3">
        <v>37</v>
      </c>
      <c r="N283" s="3" t="str" cm="1">
        <f t="array" ref="N283">_xlfn.IFS(M283&gt;59, "Pension Age", M283&gt;44, "Elderly (45+)", M283&gt;29, "Middle Age (30+)", M283&gt;22, "Adult (23+)", M283&gt;15, "Teen/Young Adult (16+)")</f>
        <v>Middle Age (30+)</v>
      </c>
      <c r="O283" s="3" t="s">
        <v>18</v>
      </c>
    </row>
    <row r="284" spans="1:15" x14ac:dyDescent="0.3">
      <c r="A284" s="4">
        <v>14696</v>
      </c>
      <c r="B284" s="3" t="s">
        <v>40</v>
      </c>
      <c r="C284" s="3" t="s">
        <v>42</v>
      </c>
      <c r="D284" s="11">
        <v>10000</v>
      </c>
      <c r="E284" s="9" t="str" cm="1">
        <f t="array" ref="E284">_xlfn.IFS(D284&gt;149000, "Very High", D284&gt;99000, "High", D284&gt;59999, "Average", D284&gt;19999, "Low", D284&gt;0, "Poverty")</f>
        <v>Poverty</v>
      </c>
      <c r="F284" s="3">
        <v>0</v>
      </c>
      <c r="G284" t="s">
        <v>29</v>
      </c>
      <c r="H284" t="s">
        <v>25</v>
      </c>
      <c r="I284" s="3" t="s">
        <v>18</v>
      </c>
      <c r="J284" s="3">
        <v>2</v>
      </c>
      <c r="K284" t="s">
        <v>16</v>
      </c>
      <c r="L284" t="s">
        <v>17</v>
      </c>
      <c r="M284" s="3">
        <v>34</v>
      </c>
      <c r="N284" s="3" t="str" cm="1">
        <f t="array" ref="N284">_xlfn.IFS(M284&gt;59, "Pension Age", M284&gt;44, "Elderly (45+)", M284&gt;29, "Middle Age (30+)", M284&gt;22, "Adult (23+)", M284&gt;15, "Teen/Young Adult (16+)")</f>
        <v>Middle Age (30+)</v>
      </c>
      <c r="O284" s="3" t="s">
        <v>18</v>
      </c>
    </row>
    <row r="285" spans="1:15" x14ac:dyDescent="0.3">
      <c r="A285" s="4">
        <v>22005</v>
      </c>
      <c r="B285" s="3" t="s">
        <v>39</v>
      </c>
      <c r="C285" s="3" t="s">
        <v>41</v>
      </c>
      <c r="D285" s="11">
        <v>70000</v>
      </c>
      <c r="E285" s="9" t="str" cm="1">
        <f t="array" ref="E285">_xlfn.IFS(D285&gt;149000, "Very High", D285&gt;99000, "High", D285&gt;59999, "Average", D285&gt;19999, "Low", D285&gt;0, "Poverty")</f>
        <v>Average</v>
      </c>
      <c r="F285" s="3">
        <v>5</v>
      </c>
      <c r="G285" t="s">
        <v>19</v>
      </c>
      <c r="H285" t="s">
        <v>14</v>
      </c>
      <c r="I285" s="3" t="s">
        <v>18</v>
      </c>
      <c r="J285" s="3">
        <v>3</v>
      </c>
      <c r="K285" t="s">
        <v>23</v>
      </c>
      <c r="L285" t="s">
        <v>24</v>
      </c>
      <c r="M285" s="3">
        <v>46</v>
      </c>
      <c r="N285" s="3" t="str" cm="1">
        <f t="array" ref="N285">_xlfn.IFS(M285&gt;59, "Pension Age", M285&gt;44, "Elderly (45+)", M285&gt;29, "Middle Age (30+)", M285&gt;22, "Adult (23+)", M285&gt;15, "Teen/Young Adult (16+)")</f>
        <v>Elderly (45+)</v>
      </c>
      <c r="O285" s="3" t="s">
        <v>18</v>
      </c>
    </row>
    <row r="286" spans="1:15" x14ac:dyDescent="0.3">
      <c r="A286" s="4">
        <v>14544</v>
      </c>
      <c r="B286" s="3" t="s">
        <v>40</v>
      </c>
      <c r="C286" s="3" t="s">
        <v>42</v>
      </c>
      <c r="D286" s="11">
        <v>10000</v>
      </c>
      <c r="E286" s="9" t="str" cm="1">
        <f t="array" ref="E286">_xlfn.IFS(D286&gt;149000, "Very High", D286&gt;99000, "High", D286&gt;59999, "Average", D286&gt;19999, "Low", D286&gt;0, "Poverty")</f>
        <v>Poverty</v>
      </c>
      <c r="F286" s="3">
        <v>1</v>
      </c>
      <c r="G286" t="s">
        <v>19</v>
      </c>
      <c r="H286" t="s">
        <v>25</v>
      </c>
      <c r="I286" s="3" t="s">
        <v>15</v>
      </c>
      <c r="J286" s="3">
        <v>0</v>
      </c>
      <c r="K286" t="s">
        <v>16</v>
      </c>
      <c r="L286" t="s">
        <v>17</v>
      </c>
      <c r="M286" s="3">
        <v>49</v>
      </c>
      <c r="N286" s="3" t="str" cm="1">
        <f t="array" ref="N286">_xlfn.IFS(M286&gt;59, "Pension Age", M286&gt;44, "Elderly (45+)", M286&gt;29, "Middle Age (30+)", M286&gt;22, "Adult (23+)", M286&gt;15, "Teen/Young Adult (16+)")</f>
        <v>Elderly (45+)</v>
      </c>
      <c r="O286" s="3" t="s">
        <v>18</v>
      </c>
    </row>
    <row r="287" spans="1:15" x14ac:dyDescent="0.3">
      <c r="A287" s="4">
        <v>14312</v>
      </c>
      <c r="B287" s="3" t="s">
        <v>39</v>
      </c>
      <c r="C287" s="3" t="s">
        <v>41</v>
      </c>
      <c r="D287" s="11">
        <v>60000</v>
      </c>
      <c r="E287" s="9" t="str" cm="1">
        <f t="array" ref="E287">_xlfn.IFS(D287&gt;149000, "Very High", D287&gt;99000, "High", D287&gt;59999, "Average", D287&gt;19999, "Low", D287&gt;0, "Poverty")</f>
        <v>Average</v>
      </c>
      <c r="F287" s="3">
        <v>1</v>
      </c>
      <c r="G287" t="s">
        <v>19</v>
      </c>
      <c r="H287" t="s">
        <v>14</v>
      </c>
      <c r="I287" s="3" t="s">
        <v>15</v>
      </c>
      <c r="J287" s="3">
        <v>1</v>
      </c>
      <c r="K287" t="s">
        <v>23</v>
      </c>
      <c r="L287" t="s">
        <v>24</v>
      </c>
      <c r="M287" s="3">
        <v>45</v>
      </c>
      <c r="N287" s="3" t="str" cm="1">
        <f t="array" ref="N287">_xlfn.IFS(M287&gt;59, "Pension Age", M287&gt;44, "Elderly (45+)", M287&gt;29, "Middle Age (30+)", M287&gt;22, "Adult (23+)", M287&gt;15, "Teen/Young Adult (16+)")</f>
        <v>Elderly (45+)</v>
      </c>
      <c r="O287" s="3" t="s">
        <v>18</v>
      </c>
    </row>
    <row r="288" spans="1:15" x14ac:dyDescent="0.3">
      <c r="A288" s="4">
        <v>29120</v>
      </c>
      <c r="B288" s="3" t="s">
        <v>40</v>
      </c>
      <c r="C288" s="3" t="s">
        <v>41</v>
      </c>
      <c r="D288" s="11">
        <v>100000</v>
      </c>
      <c r="E288" s="9" t="str" cm="1">
        <f t="array" ref="E288">_xlfn.IFS(D288&gt;149000, "Very High", D288&gt;99000, "High", D288&gt;59999, "Average", D288&gt;19999, "Low", D288&gt;0, "Poverty")</f>
        <v>High</v>
      </c>
      <c r="F288" s="3">
        <v>1</v>
      </c>
      <c r="G288" t="s">
        <v>13</v>
      </c>
      <c r="H288" t="s">
        <v>28</v>
      </c>
      <c r="I288" s="3" t="s">
        <v>15</v>
      </c>
      <c r="J288" s="3">
        <v>4</v>
      </c>
      <c r="K288" t="s">
        <v>22</v>
      </c>
      <c r="L288" t="s">
        <v>24</v>
      </c>
      <c r="M288" s="3">
        <v>48</v>
      </c>
      <c r="N288" s="3" t="str" cm="1">
        <f t="array" ref="N288">_xlfn.IFS(M288&gt;59, "Pension Age", M288&gt;44, "Elderly (45+)", M288&gt;29, "Middle Age (30+)", M288&gt;22, "Adult (23+)", M288&gt;15, "Teen/Young Adult (16+)")</f>
        <v>Elderly (45+)</v>
      </c>
      <c r="O288" s="3" t="s">
        <v>18</v>
      </c>
    </row>
    <row r="289" spans="1:15" x14ac:dyDescent="0.3">
      <c r="A289" s="4">
        <v>24187</v>
      </c>
      <c r="B289" s="3" t="s">
        <v>40</v>
      </c>
      <c r="C289" s="3" t="s">
        <v>41</v>
      </c>
      <c r="D289" s="11">
        <v>30000</v>
      </c>
      <c r="E289" s="9" t="str" cm="1">
        <f t="array" ref="E289">_xlfn.IFS(D289&gt;149000, "Very High", D289&gt;99000, "High", D289&gt;59999, "Average", D289&gt;19999, "Low", D289&gt;0, "Poverty")</f>
        <v>Low</v>
      </c>
      <c r="F289" s="3">
        <v>3</v>
      </c>
      <c r="G289" t="s">
        <v>31</v>
      </c>
      <c r="H289" t="s">
        <v>20</v>
      </c>
      <c r="I289" s="3" t="s">
        <v>18</v>
      </c>
      <c r="J289" s="3">
        <v>0</v>
      </c>
      <c r="K289" t="s">
        <v>16</v>
      </c>
      <c r="L289" t="s">
        <v>17</v>
      </c>
      <c r="M289" s="3">
        <v>46</v>
      </c>
      <c r="N289" s="3" t="str" cm="1">
        <f t="array" ref="N289">_xlfn.IFS(M289&gt;59, "Pension Age", M289&gt;44, "Elderly (45+)", M289&gt;29, "Middle Age (30+)", M289&gt;22, "Adult (23+)", M289&gt;15, "Teen/Young Adult (16+)")</f>
        <v>Elderly (45+)</v>
      </c>
      <c r="O289" s="3" t="s">
        <v>15</v>
      </c>
    </row>
    <row r="290" spans="1:15" x14ac:dyDescent="0.3">
      <c r="A290" s="4">
        <v>15758</v>
      </c>
      <c r="B290" s="3" t="s">
        <v>39</v>
      </c>
      <c r="C290" s="3" t="s">
        <v>42</v>
      </c>
      <c r="D290" s="11">
        <v>130000</v>
      </c>
      <c r="E290" s="9" t="str" cm="1">
        <f t="array" ref="E290">_xlfn.IFS(D290&gt;149000, "Very High", D290&gt;99000, "High", D290&gt;59999, "Average", D290&gt;19999, "Low", D290&gt;0, "Poverty")</f>
        <v>High</v>
      </c>
      <c r="F290" s="3">
        <v>0</v>
      </c>
      <c r="G290" t="s">
        <v>31</v>
      </c>
      <c r="H290" t="s">
        <v>28</v>
      </c>
      <c r="I290" s="3" t="s">
        <v>15</v>
      </c>
      <c r="J290" s="3">
        <v>0</v>
      </c>
      <c r="K290" t="s">
        <v>23</v>
      </c>
      <c r="L290" t="s">
        <v>24</v>
      </c>
      <c r="M290" s="3">
        <v>48</v>
      </c>
      <c r="N290" s="3" t="str" cm="1">
        <f t="array" ref="N290">_xlfn.IFS(M290&gt;59, "Pension Age", M290&gt;44, "Elderly (45+)", M290&gt;29, "Middle Age (30+)", M290&gt;22, "Adult (23+)", M290&gt;15, "Teen/Young Adult (16+)")</f>
        <v>Elderly (45+)</v>
      </c>
      <c r="O290" s="3" t="s">
        <v>18</v>
      </c>
    </row>
    <row r="291" spans="1:15" x14ac:dyDescent="0.3">
      <c r="A291" s="4">
        <v>29094</v>
      </c>
      <c r="B291" s="3" t="s">
        <v>39</v>
      </c>
      <c r="C291" s="3" t="s">
        <v>42</v>
      </c>
      <c r="D291" s="11">
        <v>30000</v>
      </c>
      <c r="E291" s="9" t="str" cm="1">
        <f t="array" ref="E291">_xlfn.IFS(D291&gt;149000, "Very High", D291&gt;99000, "High", D291&gt;59999, "Average", D291&gt;19999, "Low", D291&gt;0, "Poverty")</f>
        <v>Low</v>
      </c>
      <c r="F291" s="3">
        <v>3</v>
      </c>
      <c r="G291" t="s">
        <v>27</v>
      </c>
      <c r="H291" t="s">
        <v>14</v>
      </c>
      <c r="I291" s="3" t="s">
        <v>15</v>
      </c>
      <c r="J291" s="3">
        <v>2</v>
      </c>
      <c r="K291" t="s">
        <v>23</v>
      </c>
      <c r="L291" t="s">
        <v>24</v>
      </c>
      <c r="M291" s="3">
        <v>54</v>
      </c>
      <c r="N291" s="3" t="str" cm="1">
        <f t="array" ref="N291">_xlfn.IFS(M291&gt;59, "Pension Age", M291&gt;44, "Elderly (45+)", M291&gt;29, "Middle Age (30+)", M291&gt;22, "Adult (23+)", M291&gt;15, "Teen/Young Adult (16+)")</f>
        <v>Elderly (45+)</v>
      </c>
      <c r="O291" s="3" t="s">
        <v>15</v>
      </c>
    </row>
    <row r="292" spans="1:15" x14ac:dyDescent="0.3">
      <c r="A292" s="4">
        <v>28319</v>
      </c>
      <c r="B292" s="3" t="s">
        <v>40</v>
      </c>
      <c r="C292" s="3" t="s">
        <v>41</v>
      </c>
      <c r="D292" s="11">
        <v>60000</v>
      </c>
      <c r="E292" s="9" t="str" cm="1">
        <f t="array" ref="E292">_xlfn.IFS(D292&gt;149000, "Very High", D292&gt;99000, "High", D292&gt;59999, "Average", D292&gt;19999, "Low", D292&gt;0, "Poverty")</f>
        <v>Average</v>
      </c>
      <c r="F292" s="3">
        <v>1</v>
      </c>
      <c r="G292" t="s">
        <v>19</v>
      </c>
      <c r="H292" t="s">
        <v>14</v>
      </c>
      <c r="I292" s="3" t="s">
        <v>18</v>
      </c>
      <c r="J292" s="3">
        <v>1</v>
      </c>
      <c r="K292" t="s">
        <v>16</v>
      </c>
      <c r="L292" t="s">
        <v>24</v>
      </c>
      <c r="M292" s="3">
        <v>46</v>
      </c>
      <c r="N292" s="3" t="str" cm="1">
        <f t="array" ref="N292">_xlfn.IFS(M292&gt;59, "Pension Age", M292&gt;44, "Elderly (45+)", M292&gt;29, "Middle Age (30+)", M292&gt;22, "Adult (23+)", M292&gt;15, "Teen/Young Adult (16+)")</f>
        <v>Elderly (45+)</v>
      </c>
      <c r="O292" s="3" t="s">
        <v>15</v>
      </c>
    </row>
    <row r="293" spans="1:15" x14ac:dyDescent="0.3">
      <c r="A293" s="4">
        <v>16406</v>
      </c>
      <c r="B293" s="3" t="s">
        <v>39</v>
      </c>
      <c r="C293" s="3" t="s">
        <v>42</v>
      </c>
      <c r="D293" s="11">
        <v>40000</v>
      </c>
      <c r="E293" s="9" t="str" cm="1">
        <f t="array" ref="E293">_xlfn.IFS(D293&gt;149000, "Very High", D293&gt;99000, "High", D293&gt;59999, "Average", D293&gt;19999, "Low", D293&gt;0, "Poverty")</f>
        <v>Low</v>
      </c>
      <c r="F293" s="3">
        <v>0</v>
      </c>
      <c r="G293" t="s">
        <v>13</v>
      </c>
      <c r="H293" t="s">
        <v>20</v>
      </c>
      <c r="I293" s="3" t="s">
        <v>18</v>
      </c>
      <c r="J293" s="3">
        <v>0</v>
      </c>
      <c r="K293" t="s">
        <v>16</v>
      </c>
      <c r="L293" t="s">
        <v>17</v>
      </c>
      <c r="M293" s="3">
        <v>38</v>
      </c>
      <c r="N293" s="3" t="str" cm="1">
        <f t="array" ref="N293">_xlfn.IFS(M293&gt;59, "Pension Age", M293&gt;44, "Elderly (45+)", M293&gt;29, "Middle Age (30+)", M293&gt;22, "Adult (23+)", M293&gt;15, "Teen/Young Adult (16+)")</f>
        <v>Middle Age (30+)</v>
      </c>
      <c r="O293" s="3" t="s">
        <v>15</v>
      </c>
    </row>
    <row r="294" spans="1:15" x14ac:dyDescent="0.3">
      <c r="A294" s="4">
        <v>20923</v>
      </c>
      <c r="B294" s="3" t="s">
        <v>39</v>
      </c>
      <c r="C294" s="3" t="s">
        <v>41</v>
      </c>
      <c r="D294" s="11">
        <v>40000</v>
      </c>
      <c r="E294" s="9" t="str" cm="1">
        <f t="array" ref="E294">_xlfn.IFS(D294&gt;149000, "Very High", D294&gt;99000, "High", D294&gt;59999, "Average", D294&gt;19999, "Low", D294&gt;0, "Poverty")</f>
        <v>Low</v>
      </c>
      <c r="F294" s="3">
        <v>1</v>
      </c>
      <c r="G294" t="s">
        <v>13</v>
      </c>
      <c r="H294" t="s">
        <v>14</v>
      </c>
      <c r="I294" s="3" t="s">
        <v>15</v>
      </c>
      <c r="J294" s="3">
        <v>0</v>
      </c>
      <c r="K294" t="s">
        <v>16</v>
      </c>
      <c r="L294" t="s">
        <v>17</v>
      </c>
      <c r="M294" s="3">
        <v>42</v>
      </c>
      <c r="N294" s="3" t="str" cm="1">
        <f t="array" ref="N294">_xlfn.IFS(M294&gt;59, "Pension Age", M294&gt;44, "Elderly (45+)", M294&gt;29, "Middle Age (30+)", M294&gt;22, "Adult (23+)", M294&gt;15, "Teen/Young Adult (16+)")</f>
        <v>Middle Age (30+)</v>
      </c>
      <c r="O294" s="3" t="s">
        <v>15</v>
      </c>
    </row>
    <row r="295" spans="1:15" x14ac:dyDescent="0.3">
      <c r="A295" s="4">
        <v>11378</v>
      </c>
      <c r="B295" s="3" t="s">
        <v>40</v>
      </c>
      <c r="C295" s="3" t="s">
        <v>41</v>
      </c>
      <c r="D295" s="11">
        <v>10000</v>
      </c>
      <c r="E295" s="9" t="str" cm="1">
        <f t="array" ref="E295">_xlfn.IFS(D295&gt;149000, "Very High", D295&gt;99000, "High", D295&gt;59999, "Average", D295&gt;19999, "Low", D295&gt;0, "Poverty")</f>
        <v>Poverty</v>
      </c>
      <c r="F295" s="3">
        <v>1</v>
      </c>
      <c r="G295" t="s">
        <v>27</v>
      </c>
      <c r="H295" t="s">
        <v>25</v>
      </c>
      <c r="I295" s="3" t="s">
        <v>18</v>
      </c>
      <c r="J295" s="3">
        <v>1</v>
      </c>
      <c r="K295" t="s">
        <v>22</v>
      </c>
      <c r="L295" t="s">
        <v>17</v>
      </c>
      <c r="M295" s="3">
        <v>46</v>
      </c>
      <c r="N295" s="3" t="str" cm="1">
        <f t="array" ref="N295">_xlfn.IFS(M295&gt;59, "Pension Age", M295&gt;44, "Elderly (45+)", M295&gt;29, "Middle Age (30+)", M295&gt;22, "Adult (23+)", M295&gt;15, "Teen/Young Adult (16+)")</f>
        <v>Elderly (45+)</v>
      </c>
      <c r="O295" s="3" t="s">
        <v>15</v>
      </c>
    </row>
    <row r="296" spans="1:15" x14ac:dyDescent="0.3">
      <c r="A296" s="4">
        <v>20851</v>
      </c>
      <c r="B296" s="3" t="s">
        <v>40</v>
      </c>
      <c r="C296" s="3" t="s">
        <v>42</v>
      </c>
      <c r="D296" s="11">
        <v>20000</v>
      </c>
      <c r="E296" s="9" t="str" cm="1">
        <f t="array" ref="E296">_xlfn.IFS(D296&gt;149000, "Very High", D296&gt;99000, "High", D296&gt;59999, "Average", D296&gt;19999, "Low", D296&gt;0, "Poverty")</f>
        <v>Low</v>
      </c>
      <c r="F296" s="3">
        <v>0</v>
      </c>
      <c r="G296" t="s">
        <v>19</v>
      </c>
      <c r="H296" t="s">
        <v>25</v>
      </c>
      <c r="I296" s="3" t="s">
        <v>18</v>
      </c>
      <c r="J296" s="3">
        <v>1</v>
      </c>
      <c r="K296" t="s">
        <v>22</v>
      </c>
      <c r="L296" t="s">
        <v>17</v>
      </c>
      <c r="M296" s="3">
        <v>36</v>
      </c>
      <c r="N296" s="3" t="str" cm="1">
        <f t="array" ref="N296">_xlfn.IFS(M296&gt;59, "Pension Age", M296&gt;44, "Elderly (45+)", M296&gt;29, "Middle Age (30+)", M296&gt;22, "Adult (23+)", M296&gt;15, "Teen/Young Adult (16+)")</f>
        <v>Middle Age (30+)</v>
      </c>
      <c r="O296" s="3" t="s">
        <v>15</v>
      </c>
    </row>
    <row r="297" spans="1:15" x14ac:dyDescent="0.3">
      <c r="A297" s="4">
        <v>21557</v>
      </c>
      <c r="B297" s="3" t="s">
        <v>40</v>
      </c>
      <c r="C297" s="3" t="s">
        <v>41</v>
      </c>
      <c r="D297" s="11">
        <v>110000</v>
      </c>
      <c r="E297" s="9" t="str" cm="1">
        <f t="array" ref="E297">_xlfn.IFS(D297&gt;149000, "Very High", D297&gt;99000, "High", D297&gt;59999, "Average", D297&gt;19999, "Low", D297&gt;0, "Poverty")</f>
        <v>High</v>
      </c>
      <c r="F297" s="3">
        <v>0</v>
      </c>
      <c r="G297" t="s">
        <v>19</v>
      </c>
      <c r="H297" t="s">
        <v>28</v>
      </c>
      <c r="I297" s="3" t="s">
        <v>15</v>
      </c>
      <c r="J297" s="3">
        <v>3</v>
      </c>
      <c r="K297" t="s">
        <v>30</v>
      </c>
      <c r="L297" t="s">
        <v>24</v>
      </c>
      <c r="M297" s="3">
        <v>32</v>
      </c>
      <c r="N297" s="3" t="str" cm="1">
        <f t="array" ref="N297">_xlfn.IFS(M297&gt;59, "Pension Age", M297&gt;44, "Elderly (45+)", M297&gt;29, "Middle Age (30+)", M297&gt;22, "Adult (23+)", M297&gt;15, "Teen/Young Adult (16+)")</f>
        <v>Middle Age (30+)</v>
      </c>
      <c r="O297" s="3" t="s">
        <v>15</v>
      </c>
    </row>
    <row r="298" spans="1:15" x14ac:dyDescent="0.3">
      <c r="A298" s="4">
        <v>26663</v>
      </c>
      <c r="B298" s="3" t="s">
        <v>40</v>
      </c>
      <c r="C298" s="3" t="s">
        <v>41</v>
      </c>
      <c r="D298" s="11">
        <v>60000</v>
      </c>
      <c r="E298" s="9" t="str" cm="1">
        <f t="array" ref="E298">_xlfn.IFS(D298&gt;149000, "Very High", D298&gt;99000, "High", D298&gt;59999, "Average", D298&gt;19999, "Low", D298&gt;0, "Poverty")</f>
        <v>Average</v>
      </c>
      <c r="F298" s="3">
        <v>2</v>
      </c>
      <c r="G298" t="s">
        <v>13</v>
      </c>
      <c r="H298" t="s">
        <v>21</v>
      </c>
      <c r="I298" s="3" t="s">
        <v>18</v>
      </c>
      <c r="J298" s="3">
        <v>1</v>
      </c>
      <c r="K298" t="s">
        <v>16</v>
      </c>
      <c r="L298" t="s">
        <v>24</v>
      </c>
      <c r="M298" s="3">
        <v>39</v>
      </c>
      <c r="N298" s="3" t="str" cm="1">
        <f t="array" ref="N298">_xlfn.IFS(M298&gt;59, "Pension Age", M298&gt;44, "Elderly (45+)", M298&gt;29, "Middle Age (30+)", M298&gt;22, "Adult (23+)", M298&gt;15, "Teen/Young Adult (16+)")</f>
        <v>Middle Age (30+)</v>
      </c>
      <c r="O298" s="3" t="s">
        <v>15</v>
      </c>
    </row>
    <row r="299" spans="1:15" x14ac:dyDescent="0.3">
      <c r="A299" s="4">
        <v>11896</v>
      </c>
      <c r="B299" s="3" t="s">
        <v>39</v>
      </c>
      <c r="C299" s="3" t="s">
        <v>42</v>
      </c>
      <c r="D299" s="11">
        <v>100000</v>
      </c>
      <c r="E299" s="9" t="str" cm="1">
        <f t="array" ref="E299">_xlfn.IFS(D299&gt;149000, "Very High", D299&gt;99000, "High", D299&gt;59999, "Average", D299&gt;19999, "Low", D299&gt;0, "Poverty")</f>
        <v>High</v>
      </c>
      <c r="F299" s="3">
        <v>1</v>
      </c>
      <c r="G299" t="s">
        <v>31</v>
      </c>
      <c r="H299" t="s">
        <v>28</v>
      </c>
      <c r="I299" s="3" t="s">
        <v>15</v>
      </c>
      <c r="J299" s="3">
        <v>0</v>
      </c>
      <c r="K299" t="s">
        <v>22</v>
      </c>
      <c r="L299" t="s">
        <v>24</v>
      </c>
      <c r="M299" s="3">
        <v>36</v>
      </c>
      <c r="N299" s="3" t="str" cm="1">
        <f t="array" ref="N299">_xlfn.IFS(M299&gt;59, "Pension Age", M299&gt;44, "Elderly (45+)", M299&gt;29, "Middle Age (30+)", M299&gt;22, "Adult (23+)", M299&gt;15, "Teen/Young Adult (16+)")</f>
        <v>Middle Age (30+)</v>
      </c>
      <c r="O299" s="3" t="s">
        <v>15</v>
      </c>
    </row>
    <row r="300" spans="1:15" x14ac:dyDescent="0.3">
      <c r="A300" s="4">
        <v>14189</v>
      </c>
      <c r="B300" s="3" t="s">
        <v>39</v>
      </c>
      <c r="C300" s="3" t="s">
        <v>41</v>
      </c>
      <c r="D300" s="11">
        <v>90000</v>
      </c>
      <c r="E300" s="9" t="str" cm="1">
        <f t="array" ref="E300">_xlfn.IFS(D300&gt;149000, "Very High", D300&gt;99000, "High", D300&gt;59999, "Average", D300&gt;19999, "Low", D300&gt;0, "Poverty")</f>
        <v>Average</v>
      </c>
      <c r="F300" s="3">
        <v>4</v>
      </c>
      <c r="G300" t="s">
        <v>27</v>
      </c>
      <c r="H300" t="s">
        <v>21</v>
      </c>
      <c r="I300" s="3" t="s">
        <v>18</v>
      </c>
      <c r="J300" s="3">
        <v>2</v>
      </c>
      <c r="K300" t="s">
        <v>22</v>
      </c>
      <c r="L300" t="s">
        <v>17</v>
      </c>
      <c r="M300" s="3">
        <v>54</v>
      </c>
      <c r="N300" s="3" t="str" cm="1">
        <f t="array" ref="N300">_xlfn.IFS(M300&gt;59, "Pension Age", M300&gt;44, "Elderly (45+)", M300&gt;29, "Middle Age (30+)", M300&gt;22, "Adult (23+)", M300&gt;15, "Teen/Young Adult (16+)")</f>
        <v>Elderly (45+)</v>
      </c>
      <c r="O300" s="3" t="s">
        <v>15</v>
      </c>
    </row>
    <row r="301" spans="1:15" x14ac:dyDescent="0.3">
      <c r="A301" s="4">
        <v>13136</v>
      </c>
      <c r="B301" s="3" t="s">
        <v>39</v>
      </c>
      <c r="C301" s="3" t="s">
        <v>41</v>
      </c>
      <c r="D301" s="11">
        <v>30000</v>
      </c>
      <c r="E301" s="9" t="str" cm="1">
        <f t="array" ref="E301">_xlfn.IFS(D301&gt;149000, "Very High", D301&gt;99000, "High", D301&gt;59999, "Average", D301&gt;19999, "Low", D301&gt;0, "Poverty")</f>
        <v>Low</v>
      </c>
      <c r="F301" s="3">
        <v>2</v>
      </c>
      <c r="G301" t="s">
        <v>19</v>
      </c>
      <c r="H301" t="s">
        <v>20</v>
      </c>
      <c r="I301" s="3" t="s">
        <v>18</v>
      </c>
      <c r="J301" s="3">
        <v>2</v>
      </c>
      <c r="K301" t="s">
        <v>23</v>
      </c>
      <c r="L301" t="s">
        <v>24</v>
      </c>
      <c r="M301" s="3">
        <v>69</v>
      </c>
      <c r="N301" s="3" t="str" cm="1">
        <f t="array" ref="N301">_xlfn.IFS(M301&gt;59, "Pension Age", M301&gt;44, "Elderly (45+)", M301&gt;29, "Middle Age (30+)", M301&gt;22, "Adult (23+)", M301&gt;15, "Teen/Young Adult (16+)")</f>
        <v>Pension Age</v>
      </c>
      <c r="O301" s="3" t="s">
        <v>18</v>
      </c>
    </row>
    <row r="302" spans="1:15" x14ac:dyDescent="0.3">
      <c r="A302" s="4">
        <v>25906</v>
      </c>
      <c r="B302" s="3" t="s">
        <v>40</v>
      </c>
      <c r="C302" s="3" t="s">
        <v>41</v>
      </c>
      <c r="D302" s="11">
        <v>10000</v>
      </c>
      <c r="E302" s="9" t="str" cm="1">
        <f t="array" ref="E302">_xlfn.IFS(D302&gt;149000, "Very High", D302&gt;99000, "High", D302&gt;59999, "Average", D302&gt;19999, "Low", D302&gt;0, "Poverty")</f>
        <v>Poverty</v>
      </c>
      <c r="F302" s="3">
        <v>5</v>
      </c>
      <c r="G302" t="s">
        <v>27</v>
      </c>
      <c r="H302" t="s">
        <v>14</v>
      </c>
      <c r="I302" s="3" t="s">
        <v>18</v>
      </c>
      <c r="J302" s="3">
        <v>2</v>
      </c>
      <c r="K302" t="s">
        <v>26</v>
      </c>
      <c r="L302" t="s">
        <v>24</v>
      </c>
      <c r="M302" s="3">
        <v>62</v>
      </c>
      <c r="N302" s="3" t="str" cm="1">
        <f t="array" ref="N302">_xlfn.IFS(M302&gt;59, "Pension Age", M302&gt;44, "Elderly (45+)", M302&gt;29, "Middle Age (30+)", M302&gt;22, "Adult (23+)", M302&gt;15, "Teen/Young Adult (16+)")</f>
        <v>Pension Age</v>
      </c>
      <c r="O302" s="3" t="s">
        <v>18</v>
      </c>
    </row>
    <row r="303" spans="1:15" x14ac:dyDescent="0.3">
      <c r="A303" s="4">
        <v>17926</v>
      </c>
      <c r="B303" s="3" t="s">
        <v>40</v>
      </c>
      <c r="C303" s="3" t="s">
        <v>41</v>
      </c>
      <c r="D303" s="11">
        <v>40000</v>
      </c>
      <c r="E303" s="9" t="str" cm="1">
        <f t="array" ref="E303">_xlfn.IFS(D303&gt;149000, "Very High", D303&gt;99000, "High", D303&gt;59999, "Average", D303&gt;19999, "Low", D303&gt;0, "Poverty")</f>
        <v>Low</v>
      </c>
      <c r="F303" s="3">
        <v>0</v>
      </c>
      <c r="G303" t="s">
        <v>13</v>
      </c>
      <c r="H303" t="s">
        <v>20</v>
      </c>
      <c r="I303" s="3" t="s">
        <v>18</v>
      </c>
      <c r="J303" s="3">
        <v>0</v>
      </c>
      <c r="K303" t="s">
        <v>16</v>
      </c>
      <c r="L303" t="s">
        <v>24</v>
      </c>
      <c r="M303" s="3">
        <v>28</v>
      </c>
      <c r="N303" s="3" t="str" cm="1">
        <f t="array" ref="N303">_xlfn.IFS(M303&gt;59, "Pension Age", M303&gt;44, "Elderly (45+)", M303&gt;29, "Middle Age (30+)", M303&gt;22, "Adult (23+)", M303&gt;15, "Teen/Young Adult (16+)")</f>
        <v>Adult (23+)</v>
      </c>
      <c r="O303" s="3" t="s">
        <v>15</v>
      </c>
    </row>
    <row r="304" spans="1:15" x14ac:dyDescent="0.3">
      <c r="A304" s="4">
        <v>26928</v>
      </c>
      <c r="B304" s="3" t="s">
        <v>40</v>
      </c>
      <c r="C304" s="3" t="s">
        <v>42</v>
      </c>
      <c r="D304" s="11">
        <v>30000</v>
      </c>
      <c r="E304" s="9" t="str" cm="1">
        <f t="array" ref="E304">_xlfn.IFS(D304&gt;149000, "Very High", D304&gt;99000, "High", D304&gt;59999, "Average", D304&gt;19999, "Low", D304&gt;0, "Poverty")</f>
        <v>Low</v>
      </c>
      <c r="F304" s="3">
        <v>1</v>
      </c>
      <c r="G304" t="s">
        <v>13</v>
      </c>
      <c r="H304" t="s">
        <v>20</v>
      </c>
      <c r="I304" s="3" t="s">
        <v>15</v>
      </c>
      <c r="J304" s="3">
        <v>0</v>
      </c>
      <c r="K304" t="s">
        <v>16</v>
      </c>
      <c r="L304" t="s">
        <v>17</v>
      </c>
      <c r="M304" s="3">
        <v>62</v>
      </c>
      <c r="N304" s="3" t="str" cm="1">
        <f t="array" ref="N304">_xlfn.IFS(M304&gt;59, "Pension Age", M304&gt;44, "Elderly (45+)", M304&gt;29, "Middle Age (30+)", M304&gt;22, "Adult (23+)", M304&gt;15, "Teen/Young Adult (16+)")</f>
        <v>Pension Age</v>
      </c>
      <c r="O304" s="3" t="s">
        <v>15</v>
      </c>
    </row>
    <row r="305" spans="1:15" x14ac:dyDescent="0.3">
      <c r="A305" s="4">
        <v>20897</v>
      </c>
      <c r="B305" s="3" t="s">
        <v>39</v>
      </c>
      <c r="C305" s="3" t="s">
        <v>41</v>
      </c>
      <c r="D305" s="11">
        <v>30000</v>
      </c>
      <c r="E305" s="9" t="str" cm="1">
        <f t="array" ref="E305">_xlfn.IFS(D305&gt;149000, "Very High", D305&gt;99000, "High", D305&gt;59999, "Average", D305&gt;19999, "Low", D305&gt;0, "Poverty")</f>
        <v>Low</v>
      </c>
      <c r="F305" s="3">
        <v>1</v>
      </c>
      <c r="G305" t="s">
        <v>13</v>
      </c>
      <c r="H305" t="s">
        <v>14</v>
      </c>
      <c r="I305" s="3" t="s">
        <v>15</v>
      </c>
      <c r="J305" s="3">
        <v>2</v>
      </c>
      <c r="K305" t="s">
        <v>16</v>
      </c>
      <c r="L305" t="s">
        <v>17</v>
      </c>
      <c r="M305" s="3">
        <v>40</v>
      </c>
      <c r="N305" s="3" t="str" cm="1">
        <f t="array" ref="N305">_xlfn.IFS(M305&gt;59, "Pension Age", M305&gt;44, "Elderly (45+)", M305&gt;29, "Middle Age (30+)", M305&gt;22, "Adult (23+)", M305&gt;15, "Teen/Young Adult (16+)")</f>
        <v>Middle Age (30+)</v>
      </c>
      <c r="O305" s="3" t="s">
        <v>18</v>
      </c>
    </row>
    <row r="306" spans="1:15" x14ac:dyDescent="0.3">
      <c r="A306" s="4">
        <v>28207</v>
      </c>
      <c r="B306" s="3" t="s">
        <v>39</v>
      </c>
      <c r="C306" s="3" t="s">
        <v>42</v>
      </c>
      <c r="D306" s="11">
        <v>80000</v>
      </c>
      <c r="E306" s="9" t="str" cm="1">
        <f t="array" ref="E306">_xlfn.IFS(D306&gt;149000, "Very High", D306&gt;99000, "High", D306&gt;59999, "Average", D306&gt;19999, "Low", D306&gt;0, "Poverty")</f>
        <v>Average</v>
      </c>
      <c r="F306" s="3">
        <v>4</v>
      </c>
      <c r="G306" t="s">
        <v>31</v>
      </c>
      <c r="H306" t="s">
        <v>28</v>
      </c>
      <c r="I306" s="3" t="s">
        <v>15</v>
      </c>
      <c r="J306" s="3">
        <v>1</v>
      </c>
      <c r="K306" t="s">
        <v>16</v>
      </c>
      <c r="L306" t="s">
        <v>24</v>
      </c>
      <c r="M306" s="3">
        <v>36</v>
      </c>
      <c r="N306" s="3" t="str" cm="1">
        <f t="array" ref="N306">_xlfn.IFS(M306&gt;59, "Pension Age", M306&gt;44, "Elderly (45+)", M306&gt;29, "Middle Age (30+)", M306&gt;22, "Adult (23+)", M306&gt;15, "Teen/Young Adult (16+)")</f>
        <v>Middle Age (30+)</v>
      </c>
      <c r="O306" s="3" t="s">
        <v>15</v>
      </c>
    </row>
    <row r="307" spans="1:15" x14ac:dyDescent="0.3">
      <c r="A307" s="4">
        <v>25923</v>
      </c>
      <c r="B307" s="3" t="s">
        <v>40</v>
      </c>
      <c r="C307" s="3" t="s">
        <v>42</v>
      </c>
      <c r="D307" s="11">
        <v>10000</v>
      </c>
      <c r="E307" s="9" t="str" cm="1">
        <f t="array" ref="E307">_xlfn.IFS(D307&gt;149000, "Very High", D307&gt;99000, "High", D307&gt;59999, "Average", D307&gt;19999, "Low", D307&gt;0, "Poverty")</f>
        <v>Poverty</v>
      </c>
      <c r="F307" s="3">
        <v>2</v>
      </c>
      <c r="G307" t="s">
        <v>29</v>
      </c>
      <c r="H307" t="s">
        <v>20</v>
      </c>
      <c r="I307" s="3" t="s">
        <v>15</v>
      </c>
      <c r="J307" s="3">
        <v>2</v>
      </c>
      <c r="K307" t="s">
        <v>23</v>
      </c>
      <c r="L307" t="s">
        <v>24</v>
      </c>
      <c r="M307" s="3">
        <v>58</v>
      </c>
      <c r="N307" s="3" t="str" cm="1">
        <f t="array" ref="N307">_xlfn.IFS(M307&gt;59, "Pension Age", M307&gt;44, "Elderly (45+)", M307&gt;29, "Middle Age (30+)", M307&gt;22, "Adult (23+)", M307&gt;15, "Teen/Young Adult (16+)")</f>
        <v>Elderly (45+)</v>
      </c>
      <c r="O307" s="3" t="s">
        <v>18</v>
      </c>
    </row>
    <row r="308" spans="1:15" x14ac:dyDescent="0.3">
      <c r="A308" s="4">
        <v>11000</v>
      </c>
      <c r="B308" s="3" t="s">
        <v>39</v>
      </c>
      <c r="C308" s="3" t="s">
        <v>42</v>
      </c>
      <c r="D308" s="11">
        <v>90000</v>
      </c>
      <c r="E308" s="9" t="str" cm="1">
        <f t="array" ref="E308">_xlfn.IFS(D308&gt;149000, "Very High", D308&gt;99000, "High", D308&gt;59999, "Average", D308&gt;19999, "Low", D308&gt;0, "Poverty")</f>
        <v>Average</v>
      </c>
      <c r="F308" s="3">
        <v>2</v>
      </c>
      <c r="G308" t="s">
        <v>13</v>
      </c>
      <c r="H308" t="s">
        <v>21</v>
      </c>
      <c r="I308" s="3" t="s">
        <v>15</v>
      </c>
      <c r="J308" s="3">
        <v>0</v>
      </c>
      <c r="K308" t="s">
        <v>26</v>
      </c>
      <c r="L308" t="s">
        <v>24</v>
      </c>
      <c r="M308" s="3">
        <v>40</v>
      </c>
      <c r="N308" s="3" t="str" cm="1">
        <f t="array" ref="N308">_xlfn.IFS(M308&gt;59, "Pension Age", M308&gt;44, "Elderly (45+)", M308&gt;29, "Middle Age (30+)", M308&gt;22, "Adult (23+)", M308&gt;15, "Teen/Young Adult (16+)")</f>
        <v>Middle Age (30+)</v>
      </c>
      <c r="O308" s="3" t="s">
        <v>15</v>
      </c>
    </row>
    <row r="309" spans="1:15" x14ac:dyDescent="0.3">
      <c r="A309" s="4">
        <v>20974</v>
      </c>
      <c r="B309" s="3" t="s">
        <v>39</v>
      </c>
      <c r="C309" s="3" t="s">
        <v>42</v>
      </c>
      <c r="D309" s="11">
        <v>10000</v>
      </c>
      <c r="E309" s="9" t="str" cm="1">
        <f t="array" ref="E309">_xlfn.IFS(D309&gt;149000, "Very High", D309&gt;99000, "High", D309&gt;59999, "Average", D309&gt;19999, "Low", D309&gt;0, "Poverty")</f>
        <v>Poverty</v>
      </c>
      <c r="F309" s="3">
        <v>2</v>
      </c>
      <c r="G309" t="s">
        <v>13</v>
      </c>
      <c r="H309" t="s">
        <v>20</v>
      </c>
      <c r="I309" s="3" t="s">
        <v>15</v>
      </c>
      <c r="J309" s="3">
        <v>1</v>
      </c>
      <c r="K309" t="s">
        <v>16</v>
      </c>
      <c r="L309" t="s">
        <v>17</v>
      </c>
      <c r="M309" s="3">
        <v>66</v>
      </c>
      <c r="N309" s="3" t="str" cm="1">
        <f t="array" ref="N309">_xlfn.IFS(M309&gt;59, "Pension Age", M309&gt;44, "Elderly (45+)", M309&gt;29, "Middle Age (30+)", M309&gt;22, "Adult (23+)", M309&gt;15, "Teen/Young Adult (16+)")</f>
        <v>Pension Age</v>
      </c>
      <c r="O309" s="3" t="s">
        <v>18</v>
      </c>
    </row>
    <row r="310" spans="1:15" x14ac:dyDescent="0.3">
      <c r="A310" s="4">
        <v>28758</v>
      </c>
      <c r="B310" s="3" t="s">
        <v>39</v>
      </c>
      <c r="C310" s="3" t="s">
        <v>42</v>
      </c>
      <c r="D310" s="11">
        <v>40000</v>
      </c>
      <c r="E310" s="9" t="str" cm="1">
        <f t="array" ref="E310">_xlfn.IFS(D310&gt;149000, "Very High", D310&gt;99000, "High", D310&gt;59999, "Average", D310&gt;19999, "Low", D310&gt;0, "Poverty")</f>
        <v>Low</v>
      </c>
      <c r="F310" s="3">
        <v>2</v>
      </c>
      <c r="G310" t="s">
        <v>19</v>
      </c>
      <c r="H310" t="s">
        <v>20</v>
      </c>
      <c r="I310" s="3" t="s">
        <v>15</v>
      </c>
      <c r="J310" s="3">
        <v>1</v>
      </c>
      <c r="K310" t="s">
        <v>26</v>
      </c>
      <c r="L310" t="s">
        <v>17</v>
      </c>
      <c r="M310" s="3">
        <v>35</v>
      </c>
      <c r="N310" s="3" t="str" cm="1">
        <f t="array" ref="N310">_xlfn.IFS(M310&gt;59, "Pension Age", M310&gt;44, "Elderly (45+)", M310&gt;29, "Middle Age (30+)", M310&gt;22, "Adult (23+)", M310&gt;15, "Teen/Young Adult (16+)")</f>
        <v>Middle Age (30+)</v>
      </c>
      <c r="O310" s="3" t="s">
        <v>15</v>
      </c>
    </row>
    <row r="311" spans="1:15" x14ac:dyDescent="0.3">
      <c r="A311" s="4">
        <v>11381</v>
      </c>
      <c r="B311" s="3" t="s">
        <v>39</v>
      </c>
      <c r="C311" s="3" t="s">
        <v>41</v>
      </c>
      <c r="D311" s="11">
        <v>20000</v>
      </c>
      <c r="E311" s="9" t="str" cm="1">
        <f t="array" ref="E311">_xlfn.IFS(D311&gt;149000, "Very High", D311&gt;99000, "High", D311&gt;59999, "Average", D311&gt;19999, "Low", D311&gt;0, "Poverty")</f>
        <v>Low</v>
      </c>
      <c r="F311" s="3">
        <v>2</v>
      </c>
      <c r="G311" t="s">
        <v>19</v>
      </c>
      <c r="H311" t="s">
        <v>25</v>
      </c>
      <c r="I311" s="3" t="s">
        <v>15</v>
      </c>
      <c r="J311" s="3">
        <v>1</v>
      </c>
      <c r="K311" t="s">
        <v>22</v>
      </c>
      <c r="L311" t="s">
        <v>17</v>
      </c>
      <c r="M311" s="3">
        <v>47</v>
      </c>
      <c r="N311" s="3" t="str" cm="1">
        <f t="array" ref="N311">_xlfn.IFS(M311&gt;59, "Pension Age", M311&gt;44, "Elderly (45+)", M311&gt;29, "Middle Age (30+)", M311&gt;22, "Adult (23+)", M311&gt;15, "Teen/Young Adult (16+)")</f>
        <v>Elderly (45+)</v>
      </c>
      <c r="O311" s="3" t="s">
        <v>15</v>
      </c>
    </row>
    <row r="312" spans="1:15" x14ac:dyDescent="0.3">
      <c r="A312" s="4">
        <v>17522</v>
      </c>
      <c r="B312" s="3" t="s">
        <v>39</v>
      </c>
      <c r="C312" s="3" t="s">
        <v>42</v>
      </c>
      <c r="D312" s="11">
        <v>120000</v>
      </c>
      <c r="E312" s="9" t="str" cm="1">
        <f t="array" ref="E312">_xlfn.IFS(D312&gt;149000, "Very High", D312&gt;99000, "High", D312&gt;59999, "Average", D312&gt;19999, "Low", D312&gt;0, "Poverty")</f>
        <v>High</v>
      </c>
      <c r="F312" s="3">
        <v>4</v>
      </c>
      <c r="G312" t="s">
        <v>13</v>
      </c>
      <c r="H312" t="s">
        <v>28</v>
      </c>
      <c r="I312" s="3" t="s">
        <v>15</v>
      </c>
      <c r="J312" s="3">
        <v>1</v>
      </c>
      <c r="K312" t="s">
        <v>22</v>
      </c>
      <c r="L312" t="s">
        <v>24</v>
      </c>
      <c r="M312" s="3">
        <v>47</v>
      </c>
      <c r="N312" s="3" t="str" cm="1">
        <f t="array" ref="N312">_xlfn.IFS(M312&gt;59, "Pension Age", M312&gt;44, "Elderly (45+)", M312&gt;29, "Middle Age (30+)", M312&gt;22, "Adult (23+)", M312&gt;15, "Teen/Young Adult (16+)")</f>
        <v>Elderly (45+)</v>
      </c>
      <c r="O312" s="3" t="s">
        <v>18</v>
      </c>
    </row>
    <row r="313" spans="1:15" x14ac:dyDescent="0.3">
      <c r="A313" s="4">
        <v>21207</v>
      </c>
      <c r="B313" s="3" t="s">
        <v>39</v>
      </c>
      <c r="C313" s="3" t="s">
        <v>42</v>
      </c>
      <c r="D313" s="11">
        <v>60000</v>
      </c>
      <c r="E313" s="9" t="str" cm="1">
        <f t="array" ref="E313">_xlfn.IFS(D313&gt;149000, "Very High", D313&gt;99000, "High", D313&gt;59999, "Average", D313&gt;19999, "Low", D313&gt;0, "Poverty")</f>
        <v>Average</v>
      </c>
      <c r="F313" s="3">
        <v>1</v>
      </c>
      <c r="G313" t="s">
        <v>19</v>
      </c>
      <c r="H313" t="s">
        <v>14</v>
      </c>
      <c r="I313" s="3" t="s">
        <v>15</v>
      </c>
      <c r="J313" s="3">
        <v>1</v>
      </c>
      <c r="K313" t="s">
        <v>23</v>
      </c>
      <c r="L313" t="s">
        <v>24</v>
      </c>
      <c r="M313" s="3">
        <v>46</v>
      </c>
      <c r="N313" s="3" t="str" cm="1">
        <f t="array" ref="N313">_xlfn.IFS(M313&gt;59, "Pension Age", M313&gt;44, "Elderly (45+)", M313&gt;29, "Middle Age (30+)", M313&gt;22, "Adult (23+)", M313&gt;15, "Teen/Young Adult (16+)")</f>
        <v>Elderly (45+)</v>
      </c>
      <c r="O313" s="3" t="s">
        <v>18</v>
      </c>
    </row>
    <row r="314" spans="1:15" x14ac:dyDescent="0.3">
      <c r="A314" s="4">
        <v>28102</v>
      </c>
      <c r="B314" s="3" t="s">
        <v>39</v>
      </c>
      <c r="C314" s="3" t="s">
        <v>42</v>
      </c>
      <c r="D314" s="11">
        <v>20000</v>
      </c>
      <c r="E314" s="9" t="str" cm="1">
        <f t="array" ref="E314">_xlfn.IFS(D314&gt;149000, "Very High", D314&gt;99000, "High", D314&gt;59999, "Average", D314&gt;19999, "Low", D314&gt;0, "Poverty")</f>
        <v>Low</v>
      </c>
      <c r="F314" s="3">
        <v>4</v>
      </c>
      <c r="G314" t="s">
        <v>27</v>
      </c>
      <c r="H314" t="s">
        <v>14</v>
      </c>
      <c r="I314" s="3" t="s">
        <v>15</v>
      </c>
      <c r="J314" s="3">
        <v>2</v>
      </c>
      <c r="K314" t="s">
        <v>23</v>
      </c>
      <c r="L314" t="s">
        <v>24</v>
      </c>
      <c r="M314" s="3">
        <v>58</v>
      </c>
      <c r="N314" s="3" t="str" cm="1">
        <f t="array" ref="N314">_xlfn.IFS(M314&gt;59, "Pension Age", M314&gt;44, "Elderly (45+)", M314&gt;29, "Middle Age (30+)", M314&gt;22, "Adult (23+)", M314&gt;15, "Teen/Young Adult (16+)")</f>
        <v>Elderly (45+)</v>
      </c>
      <c r="O314" s="3" t="s">
        <v>15</v>
      </c>
    </row>
    <row r="315" spans="1:15" x14ac:dyDescent="0.3">
      <c r="A315" s="4">
        <v>23105</v>
      </c>
      <c r="B315" s="3" t="s">
        <v>40</v>
      </c>
      <c r="C315" s="3" t="s">
        <v>42</v>
      </c>
      <c r="D315" s="11">
        <v>40000</v>
      </c>
      <c r="E315" s="9" t="str" cm="1">
        <f t="array" ref="E315">_xlfn.IFS(D315&gt;149000, "Very High", D315&gt;99000, "High", D315&gt;59999, "Average", D315&gt;19999, "Low", D315&gt;0, "Poverty")</f>
        <v>Low</v>
      </c>
      <c r="F315" s="3">
        <v>3</v>
      </c>
      <c r="G315" t="s">
        <v>29</v>
      </c>
      <c r="H315" t="s">
        <v>20</v>
      </c>
      <c r="I315" s="3" t="s">
        <v>18</v>
      </c>
      <c r="J315" s="3">
        <v>2</v>
      </c>
      <c r="K315" t="s">
        <v>23</v>
      </c>
      <c r="L315" t="s">
        <v>24</v>
      </c>
      <c r="M315" s="3">
        <v>52</v>
      </c>
      <c r="N315" s="3" t="str" cm="1">
        <f t="array" ref="N315">_xlfn.IFS(M315&gt;59, "Pension Age", M315&gt;44, "Elderly (45+)", M315&gt;29, "Middle Age (30+)", M315&gt;22, "Adult (23+)", M315&gt;15, "Teen/Young Adult (16+)")</f>
        <v>Elderly (45+)</v>
      </c>
      <c r="O315" s="3" t="s">
        <v>15</v>
      </c>
    </row>
    <row r="316" spans="1:15" x14ac:dyDescent="0.3">
      <c r="A316" s="4">
        <v>18740</v>
      </c>
      <c r="B316" s="3" t="s">
        <v>39</v>
      </c>
      <c r="C316" s="3" t="s">
        <v>42</v>
      </c>
      <c r="D316" s="11">
        <v>80000</v>
      </c>
      <c r="E316" s="9" t="str" cm="1">
        <f t="array" ref="E316">_xlfn.IFS(D316&gt;149000, "Very High", D316&gt;99000, "High", D316&gt;59999, "Average", D316&gt;19999, "Low", D316&gt;0, "Poverty")</f>
        <v>Average</v>
      </c>
      <c r="F316" s="3">
        <v>5</v>
      </c>
      <c r="G316" t="s">
        <v>13</v>
      </c>
      <c r="H316" t="s">
        <v>21</v>
      </c>
      <c r="I316" s="3" t="s">
        <v>18</v>
      </c>
      <c r="J316" s="3">
        <v>1</v>
      </c>
      <c r="K316" t="s">
        <v>16</v>
      </c>
      <c r="L316" t="s">
        <v>24</v>
      </c>
      <c r="M316" s="3">
        <v>47</v>
      </c>
      <c r="N316" s="3" t="str" cm="1">
        <f t="array" ref="N316">_xlfn.IFS(M316&gt;59, "Pension Age", M316&gt;44, "Elderly (45+)", M316&gt;29, "Middle Age (30+)", M316&gt;22, "Adult (23+)", M316&gt;15, "Teen/Young Adult (16+)")</f>
        <v>Elderly (45+)</v>
      </c>
      <c r="O316" s="3" t="s">
        <v>15</v>
      </c>
    </row>
    <row r="317" spans="1:15" x14ac:dyDescent="0.3">
      <c r="A317" s="4">
        <v>21213</v>
      </c>
      <c r="B317" s="3" t="s">
        <v>40</v>
      </c>
      <c r="C317" s="3" t="s">
        <v>42</v>
      </c>
      <c r="D317" s="11">
        <v>70000</v>
      </c>
      <c r="E317" s="9" t="str" cm="1">
        <f t="array" ref="E317">_xlfn.IFS(D317&gt;149000, "Very High", D317&gt;99000, "High", D317&gt;59999, "Average", D317&gt;19999, "Low", D317&gt;0, "Poverty")</f>
        <v>Average</v>
      </c>
      <c r="F317" s="3">
        <v>0</v>
      </c>
      <c r="G317" t="s">
        <v>13</v>
      </c>
      <c r="H317" t="s">
        <v>21</v>
      </c>
      <c r="I317" s="3" t="s">
        <v>18</v>
      </c>
      <c r="J317" s="3">
        <v>1</v>
      </c>
      <c r="K317" t="s">
        <v>23</v>
      </c>
      <c r="L317" t="s">
        <v>24</v>
      </c>
      <c r="M317" s="3">
        <v>41</v>
      </c>
      <c r="N317" s="3" t="str" cm="1">
        <f t="array" ref="N317">_xlfn.IFS(M317&gt;59, "Pension Age", M317&gt;44, "Elderly (45+)", M317&gt;29, "Middle Age (30+)", M317&gt;22, "Adult (23+)", M317&gt;15, "Teen/Young Adult (16+)")</f>
        <v>Middle Age (30+)</v>
      </c>
      <c r="O317" s="3" t="s">
        <v>18</v>
      </c>
    </row>
    <row r="318" spans="1:15" x14ac:dyDescent="0.3">
      <c r="A318" s="4">
        <v>17352</v>
      </c>
      <c r="B318" s="3" t="s">
        <v>39</v>
      </c>
      <c r="C318" s="3" t="s">
        <v>42</v>
      </c>
      <c r="D318" s="11">
        <v>50000</v>
      </c>
      <c r="E318" s="9" t="str" cm="1">
        <f t="array" ref="E318">_xlfn.IFS(D318&gt;149000, "Very High", D318&gt;99000, "High", D318&gt;59999, "Average", D318&gt;19999, "Low", D318&gt;0, "Poverty")</f>
        <v>Low</v>
      </c>
      <c r="F318" s="3">
        <v>2</v>
      </c>
      <c r="G318" t="s">
        <v>31</v>
      </c>
      <c r="H318" t="s">
        <v>28</v>
      </c>
      <c r="I318" s="3" t="s">
        <v>15</v>
      </c>
      <c r="J318" s="3">
        <v>1</v>
      </c>
      <c r="K318" t="s">
        <v>23</v>
      </c>
      <c r="L318" t="s">
        <v>24</v>
      </c>
      <c r="M318" s="3">
        <v>64</v>
      </c>
      <c r="N318" s="3" t="str" cm="1">
        <f t="array" ref="N318">_xlfn.IFS(M318&gt;59, "Pension Age", M318&gt;44, "Elderly (45+)", M318&gt;29, "Middle Age (30+)", M318&gt;22, "Adult (23+)", M318&gt;15, "Teen/Young Adult (16+)")</f>
        <v>Pension Age</v>
      </c>
      <c r="O318" s="3" t="s">
        <v>15</v>
      </c>
    </row>
    <row r="319" spans="1:15" x14ac:dyDescent="0.3">
      <c r="A319" s="4">
        <v>14154</v>
      </c>
      <c r="B319" s="3" t="s">
        <v>39</v>
      </c>
      <c r="C319" s="3" t="s">
        <v>42</v>
      </c>
      <c r="D319" s="11">
        <v>30000</v>
      </c>
      <c r="E319" s="9" t="str" cm="1">
        <f t="array" ref="E319">_xlfn.IFS(D319&gt;149000, "Very High", D319&gt;99000, "High", D319&gt;59999, "Average", D319&gt;19999, "Low", D319&gt;0, "Poverty")</f>
        <v>Low</v>
      </c>
      <c r="F319" s="3">
        <v>0</v>
      </c>
      <c r="G319" t="s">
        <v>13</v>
      </c>
      <c r="H319" t="s">
        <v>20</v>
      </c>
      <c r="I319" s="3" t="s">
        <v>15</v>
      </c>
      <c r="J319" s="3">
        <v>0</v>
      </c>
      <c r="K319" t="s">
        <v>16</v>
      </c>
      <c r="L319" t="s">
        <v>17</v>
      </c>
      <c r="M319" s="3">
        <v>35</v>
      </c>
      <c r="N319" s="3" t="str" cm="1">
        <f t="array" ref="N319">_xlfn.IFS(M319&gt;59, "Pension Age", M319&gt;44, "Elderly (45+)", M319&gt;29, "Middle Age (30+)", M319&gt;22, "Adult (23+)", M319&gt;15, "Teen/Young Adult (16+)")</f>
        <v>Middle Age (30+)</v>
      </c>
      <c r="O319" s="3" t="s">
        <v>15</v>
      </c>
    </row>
    <row r="320" spans="1:15" x14ac:dyDescent="0.3">
      <c r="A320" s="4">
        <v>19066</v>
      </c>
      <c r="B320" s="3" t="s">
        <v>39</v>
      </c>
      <c r="C320" s="3" t="s">
        <v>42</v>
      </c>
      <c r="D320" s="11">
        <v>130000</v>
      </c>
      <c r="E320" s="9" t="str" cm="1">
        <f t="array" ref="E320">_xlfn.IFS(D320&gt;149000, "Very High", D320&gt;99000, "High", D320&gt;59999, "Average", D320&gt;19999, "Low", D320&gt;0, "Poverty")</f>
        <v>High</v>
      </c>
      <c r="F320" s="3">
        <v>4</v>
      </c>
      <c r="G320" t="s">
        <v>19</v>
      </c>
      <c r="H320" t="s">
        <v>21</v>
      </c>
      <c r="I320" s="3" t="s">
        <v>18</v>
      </c>
      <c r="J320" s="3">
        <v>3</v>
      </c>
      <c r="K320" t="s">
        <v>30</v>
      </c>
      <c r="L320" t="s">
        <v>17</v>
      </c>
      <c r="M320" s="3">
        <v>54</v>
      </c>
      <c r="N320" s="3" t="str" cm="1">
        <f t="array" ref="N320">_xlfn.IFS(M320&gt;59, "Pension Age", M320&gt;44, "Elderly (45+)", M320&gt;29, "Middle Age (30+)", M320&gt;22, "Adult (23+)", M320&gt;15, "Teen/Young Adult (16+)")</f>
        <v>Elderly (45+)</v>
      </c>
      <c r="O320" s="3" t="s">
        <v>18</v>
      </c>
    </row>
    <row r="321" spans="1:15" x14ac:dyDescent="0.3">
      <c r="A321" s="4">
        <v>11386</v>
      </c>
      <c r="B321" s="3" t="s">
        <v>39</v>
      </c>
      <c r="C321" s="3" t="s">
        <v>41</v>
      </c>
      <c r="D321" s="11">
        <v>30000</v>
      </c>
      <c r="E321" s="9" t="str" cm="1">
        <f t="array" ref="E321">_xlfn.IFS(D321&gt;149000, "Very High", D321&gt;99000, "High", D321&gt;59999, "Average", D321&gt;19999, "Low", D321&gt;0, "Poverty")</f>
        <v>Low</v>
      </c>
      <c r="F321" s="3">
        <v>3</v>
      </c>
      <c r="G321" t="s">
        <v>13</v>
      </c>
      <c r="H321" t="s">
        <v>20</v>
      </c>
      <c r="I321" s="3" t="s">
        <v>15</v>
      </c>
      <c r="J321" s="3">
        <v>0</v>
      </c>
      <c r="K321" t="s">
        <v>16</v>
      </c>
      <c r="L321" t="s">
        <v>17</v>
      </c>
      <c r="M321" s="3">
        <v>45</v>
      </c>
      <c r="N321" s="3" t="str" cm="1">
        <f t="array" ref="N321">_xlfn.IFS(M321&gt;59, "Pension Age", M321&gt;44, "Elderly (45+)", M321&gt;29, "Middle Age (30+)", M321&gt;22, "Adult (23+)", M321&gt;15, "Teen/Young Adult (16+)")</f>
        <v>Elderly (45+)</v>
      </c>
      <c r="O321" s="3" t="s">
        <v>18</v>
      </c>
    </row>
    <row r="322" spans="1:15" x14ac:dyDescent="0.3">
      <c r="A322" s="4">
        <v>20228</v>
      </c>
      <c r="B322" s="3" t="s">
        <v>39</v>
      </c>
      <c r="C322" s="3" t="s">
        <v>42</v>
      </c>
      <c r="D322" s="11">
        <v>100000</v>
      </c>
      <c r="E322" s="9" t="str" cm="1">
        <f t="array" ref="E322">_xlfn.IFS(D322&gt;149000, "Very High", D322&gt;99000, "High", D322&gt;59999, "Average", D322&gt;19999, "Low", D322&gt;0, "Poverty")</f>
        <v>High</v>
      </c>
      <c r="F322" s="3">
        <v>0</v>
      </c>
      <c r="G322" t="s">
        <v>31</v>
      </c>
      <c r="H322" t="s">
        <v>28</v>
      </c>
      <c r="I322" s="3" t="s">
        <v>15</v>
      </c>
      <c r="J322" s="3">
        <v>0</v>
      </c>
      <c r="K322" t="s">
        <v>22</v>
      </c>
      <c r="L322" t="s">
        <v>24</v>
      </c>
      <c r="M322" s="3">
        <v>40</v>
      </c>
      <c r="N322" s="3" t="str" cm="1">
        <f t="array" ref="N322">_xlfn.IFS(M322&gt;59, "Pension Age", M322&gt;44, "Elderly (45+)", M322&gt;29, "Middle Age (30+)", M322&gt;22, "Adult (23+)", M322&gt;15, "Teen/Young Adult (16+)")</f>
        <v>Middle Age (30+)</v>
      </c>
      <c r="O322" s="3" t="s">
        <v>15</v>
      </c>
    </row>
    <row r="323" spans="1:15" x14ac:dyDescent="0.3">
      <c r="A323" s="4">
        <v>16675</v>
      </c>
      <c r="B323" s="3" t="s">
        <v>40</v>
      </c>
      <c r="C323" s="3" t="s">
        <v>41</v>
      </c>
      <c r="D323" s="11">
        <v>160000</v>
      </c>
      <c r="E323" s="9" t="str" cm="1">
        <f t="array" ref="E323">_xlfn.IFS(D323&gt;149000, "Very High", D323&gt;99000, "High", D323&gt;59999, "Average", D323&gt;19999, "Low", D323&gt;0, "Poverty")</f>
        <v>Very High</v>
      </c>
      <c r="F323" s="3">
        <v>0</v>
      </c>
      <c r="G323" t="s">
        <v>31</v>
      </c>
      <c r="H323" t="s">
        <v>28</v>
      </c>
      <c r="I323" s="3" t="s">
        <v>18</v>
      </c>
      <c r="J323" s="3">
        <v>3</v>
      </c>
      <c r="K323" t="s">
        <v>16</v>
      </c>
      <c r="L323" t="s">
        <v>24</v>
      </c>
      <c r="M323" s="3">
        <v>47</v>
      </c>
      <c r="N323" s="3" t="str" cm="1">
        <f t="array" ref="N323">_xlfn.IFS(M323&gt;59, "Pension Age", M323&gt;44, "Elderly (45+)", M323&gt;29, "Middle Age (30+)", M323&gt;22, "Adult (23+)", M323&gt;15, "Teen/Young Adult (16+)")</f>
        <v>Elderly (45+)</v>
      </c>
      <c r="O323" s="3" t="s">
        <v>15</v>
      </c>
    </row>
    <row r="324" spans="1:15" x14ac:dyDescent="0.3">
      <c r="A324" s="4">
        <v>16410</v>
      </c>
      <c r="B324" s="3" t="s">
        <v>40</v>
      </c>
      <c r="C324" s="3" t="s">
        <v>41</v>
      </c>
      <c r="D324" s="11">
        <v>10000</v>
      </c>
      <c r="E324" s="9" t="str" cm="1">
        <f t="array" ref="E324">_xlfn.IFS(D324&gt;149000, "Very High", D324&gt;99000, "High", D324&gt;59999, "Average", D324&gt;19999, "Low", D324&gt;0, "Poverty")</f>
        <v>Poverty</v>
      </c>
      <c r="F324" s="3">
        <v>4</v>
      </c>
      <c r="G324" t="s">
        <v>29</v>
      </c>
      <c r="H324" t="s">
        <v>25</v>
      </c>
      <c r="I324" s="3" t="s">
        <v>15</v>
      </c>
      <c r="J324" s="3">
        <v>2</v>
      </c>
      <c r="K324" t="s">
        <v>16</v>
      </c>
      <c r="L324" t="s">
        <v>17</v>
      </c>
      <c r="M324" s="3">
        <v>41</v>
      </c>
      <c r="N324" s="3" t="str" cm="1">
        <f t="array" ref="N324">_xlfn.IFS(M324&gt;59, "Pension Age", M324&gt;44, "Elderly (45+)", M324&gt;29, "Middle Age (30+)", M324&gt;22, "Adult (23+)", M324&gt;15, "Teen/Young Adult (16+)")</f>
        <v>Middle Age (30+)</v>
      </c>
      <c r="O324" s="3" t="s">
        <v>15</v>
      </c>
    </row>
    <row r="325" spans="1:15" x14ac:dyDescent="0.3">
      <c r="A325" s="4">
        <v>27760</v>
      </c>
      <c r="B325" s="3" t="s">
        <v>40</v>
      </c>
      <c r="C325" s="3" t="s">
        <v>41</v>
      </c>
      <c r="D325" s="11">
        <v>40000</v>
      </c>
      <c r="E325" s="9" t="str" cm="1">
        <f t="array" ref="E325">_xlfn.IFS(D325&gt;149000, "Very High", D325&gt;99000, "High", D325&gt;59999, "Average", D325&gt;19999, "Low", D325&gt;0, "Poverty")</f>
        <v>Low</v>
      </c>
      <c r="F325" s="3">
        <v>0</v>
      </c>
      <c r="G325" t="s">
        <v>31</v>
      </c>
      <c r="H325" t="s">
        <v>20</v>
      </c>
      <c r="I325" s="3" t="s">
        <v>18</v>
      </c>
      <c r="J325" s="3">
        <v>0</v>
      </c>
      <c r="K325" t="s">
        <v>16</v>
      </c>
      <c r="L325" t="s">
        <v>17</v>
      </c>
      <c r="M325" s="3">
        <v>37</v>
      </c>
      <c r="N325" s="3" t="str" cm="1">
        <f t="array" ref="N325">_xlfn.IFS(M325&gt;59, "Pension Age", M325&gt;44, "Elderly (45+)", M325&gt;29, "Middle Age (30+)", M325&gt;22, "Adult (23+)", M325&gt;15, "Teen/Young Adult (16+)")</f>
        <v>Middle Age (30+)</v>
      </c>
      <c r="O325" s="3" t="s">
        <v>15</v>
      </c>
    </row>
    <row r="326" spans="1:15" x14ac:dyDescent="0.3">
      <c r="A326" s="4">
        <v>22930</v>
      </c>
      <c r="B326" s="3" t="s">
        <v>39</v>
      </c>
      <c r="C326" s="3" t="s">
        <v>42</v>
      </c>
      <c r="D326" s="11">
        <v>90000</v>
      </c>
      <c r="E326" s="9" t="str" cm="1">
        <f t="array" ref="E326">_xlfn.IFS(D326&gt;149000, "Very High", D326&gt;99000, "High", D326&gt;59999, "Average", D326&gt;19999, "Low", D326&gt;0, "Poverty")</f>
        <v>Average</v>
      </c>
      <c r="F326" s="3">
        <v>4</v>
      </c>
      <c r="G326" t="s">
        <v>13</v>
      </c>
      <c r="H326" t="s">
        <v>21</v>
      </c>
      <c r="I326" s="3" t="s">
        <v>15</v>
      </c>
      <c r="J326" s="3">
        <v>0</v>
      </c>
      <c r="K326" t="s">
        <v>26</v>
      </c>
      <c r="L326" t="s">
        <v>24</v>
      </c>
      <c r="M326" s="3">
        <v>38</v>
      </c>
      <c r="N326" s="3" t="str" cm="1">
        <f t="array" ref="N326">_xlfn.IFS(M326&gt;59, "Pension Age", M326&gt;44, "Elderly (45+)", M326&gt;29, "Middle Age (30+)", M326&gt;22, "Adult (23+)", M326&gt;15, "Teen/Young Adult (16+)")</f>
        <v>Middle Age (30+)</v>
      </c>
      <c r="O326" s="3" t="s">
        <v>15</v>
      </c>
    </row>
    <row r="327" spans="1:15" x14ac:dyDescent="0.3">
      <c r="A327" s="4">
        <v>23780</v>
      </c>
      <c r="B327" s="3" t="s">
        <v>40</v>
      </c>
      <c r="C327" s="3" t="s">
        <v>42</v>
      </c>
      <c r="D327" s="11">
        <v>40000</v>
      </c>
      <c r="E327" s="9" t="str" cm="1">
        <f t="array" ref="E327">_xlfn.IFS(D327&gt;149000, "Very High", D327&gt;99000, "High", D327&gt;59999, "Average", D327&gt;19999, "Low", D327&gt;0, "Poverty")</f>
        <v>Low</v>
      </c>
      <c r="F327" s="3">
        <v>2</v>
      </c>
      <c r="G327" t="s">
        <v>19</v>
      </c>
      <c r="H327" t="s">
        <v>20</v>
      </c>
      <c r="I327" s="3" t="s">
        <v>18</v>
      </c>
      <c r="J327" s="3">
        <v>2</v>
      </c>
      <c r="K327" t="s">
        <v>16</v>
      </c>
      <c r="L327" t="s">
        <v>17</v>
      </c>
      <c r="M327" s="3">
        <v>36</v>
      </c>
      <c r="N327" s="3" t="str" cm="1">
        <f t="array" ref="N327">_xlfn.IFS(M327&gt;59, "Pension Age", M327&gt;44, "Elderly (45+)", M327&gt;29, "Middle Age (30+)", M327&gt;22, "Adult (23+)", M327&gt;15, "Teen/Young Adult (16+)")</f>
        <v>Middle Age (30+)</v>
      </c>
      <c r="O327" s="3" t="s">
        <v>15</v>
      </c>
    </row>
    <row r="328" spans="1:15" x14ac:dyDescent="0.3">
      <c r="A328" s="4">
        <v>20994</v>
      </c>
      <c r="B328" s="3" t="s">
        <v>39</v>
      </c>
      <c r="C328" s="3" t="s">
        <v>41</v>
      </c>
      <c r="D328" s="11">
        <v>20000</v>
      </c>
      <c r="E328" s="9" t="str" cm="1">
        <f t="array" ref="E328">_xlfn.IFS(D328&gt;149000, "Very High", D328&gt;99000, "High", D328&gt;59999, "Average", D328&gt;19999, "Low", D328&gt;0, "Poverty")</f>
        <v>Low</v>
      </c>
      <c r="F328" s="3">
        <v>0</v>
      </c>
      <c r="G328" t="s">
        <v>13</v>
      </c>
      <c r="H328" t="s">
        <v>20</v>
      </c>
      <c r="I328" s="3" t="s">
        <v>18</v>
      </c>
      <c r="J328" s="3">
        <v>0</v>
      </c>
      <c r="K328" t="s">
        <v>16</v>
      </c>
      <c r="L328" t="s">
        <v>24</v>
      </c>
      <c r="M328" s="3">
        <v>26</v>
      </c>
      <c r="N328" s="3" t="str" cm="1">
        <f t="array" ref="N328">_xlfn.IFS(M328&gt;59, "Pension Age", M328&gt;44, "Elderly (45+)", M328&gt;29, "Middle Age (30+)", M328&gt;22, "Adult (23+)", M328&gt;15, "Teen/Young Adult (16+)")</f>
        <v>Adult (23+)</v>
      </c>
      <c r="O328" s="3" t="s">
        <v>15</v>
      </c>
    </row>
    <row r="329" spans="1:15" x14ac:dyDescent="0.3">
      <c r="A329" s="4">
        <v>28379</v>
      </c>
      <c r="B329" s="3" t="s">
        <v>39</v>
      </c>
      <c r="C329" s="3" t="s">
        <v>42</v>
      </c>
      <c r="D329" s="11">
        <v>30000</v>
      </c>
      <c r="E329" s="9" t="str" cm="1">
        <f t="array" ref="E329">_xlfn.IFS(D329&gt;149000, "Very High", D329&gt;99000, "High", D329&gt;59999, "Average", D329&gt;19999, "Low", D329&gt;0, "Poverty")</f>
        <v>Low</v>
      </c>
      <c r="F329" s="3">
        <v>1</v>
      </c>
      <c r="G329" t="s">
        <v>13</v>
      </c>
      <c r="H329" t="s">
        <v>14</v>
      </c>
      <c r="I329" s="3" t="s">
        <v>15</v>
      </c>
      <c r="J329" s="3">
        <v>2</v>
      </c>
      <c r="K329" t="s">
        <v>16</v>
      </c>
      <c r="L329" t="s">
        <v>17</v>
      </c>
      <c r="M329" s="3">
        <v>40</v>
      </c>
      <c r="N329" s="3" t="str" cm="1">
        <f t="array" ref="N329">_xlfn.IFS(M329&gt;59, "Pension Age", M329&gt;44, "Elderly (45+)", M329&gt;29, "Middle Age (30+)", M329&gt;22, "Adult (23+)", M329&gt;15, "Teen/Young Adult (16+)")</f>
        <v>Middle Age (30+)</v>
      </c>
      <c r="O329" s="3" t="s">
        <v>18</v>
      </c>
    </row>
    <row r="330" spans="1:15" x14ac:dyDescent="0.3">
      <c r="A330" s="4">
        <v>14865</v>
      </c>
      <c r="B330" s="3" t="s">
        <v>40</v>
      </c>
      <c r="C330" s="3" t="s">
        <v>42</v>
      </c>
      <c r="D330" s="11">
        <v>40000</v>
      </c>
      <c r="E330" s="9" t="str" cm="1">
        <f t="array" ref="E330">_xlfn.IFS(D330&gt;149000, "Very High", D330&gt;99000, "High", D330&gt;59999, "Average", D330&gt;19999, "Low", D330&gt;0, "Poverty")</f>
        <v>Low</v>
      </c>
      <c r="F330" s="3">
        <v>2</v>
      </c>
      <c r="G330" t="s">
        <v>19</v>
      </c>
      <c r="H330" t="s">
        <v>20</v>
      </c>
      <c r="I330" s="3" t="s">
        <v>15</v>
      </c>
      <c r="J330" s="3">
        <v>2</v>
      </c>
      <c r="K330" t="s">
        <v>26</v>
      </c>
      <c r="L330" t="s">
        <v>17</v>
      </c>
      <c r="M330" s="3">
        <v>36</v>
      </c>
      <c r="N330" s="3" t="str" cm="1">
        <f t="array" ref="N330">_xlfn.IFS(M330&gt;59, "Pension Age", M330&gt;44, "Elderly (45+)", M330&gt;29, "Middle Age (30+)", M330&gt;22, "Adult (23+)", M330&gt;15, "Teen/Young Adult (16+)")</f>
        <v>Middle Age (30+)</v>
      </c>
      <c r="O330" s="3" t="s">
        <v>18</v>
      </c>
    </row>
    <row r="331" spans="1:15" x14ac:dyDescent="0.3">
      <c r="A331" s="4">
        <v>12663</v>
      </c>
      <c r="B331" s="3" t="s">
        <v>39</v>
      </c>
      <c r="C331" s="3" t="s">
        <v>41</v>
      </c>
      <c r="D331" s="11">
        <v>90000</v>
      </c>
      <c r="E331" s="9" t="str" cm="1">
        <f t="array" ref="E331">_xlfn.IFS(D331&gt;149000, "Very High", D331&gt;99000, "High", D331&gt;59999, "Average", D331&gt;19999, "Low", D331&gt;0, "Poverty")</f>
        <v>Average</v>
      </c>
      <c r="F331" s="3">
        <v>5</v>
      </c>
      <c r="G331" t="s">
        <v>29</v>
      </c>
      <c r="H331" t="s">
        <v>14</v>
      </c>
      <c r="I331" s="3" t="s">
        <v>15</v>
      </c>
      <c r="J331" s="3">
        <v>2</v>
      </c>
      <c r="K331" t="s">
        <v>30</v>
      </c>
      <c r="L331" t="s">
        <v>17</v>
      </c>
      <c r="M331" s="3">
        <v>59</v>
      </c>
      <c r="N331" s="3" t="str" cm="1">
        <f t="array" ref="N331">_xlfn.IFS(M331&gt;59, "Pension Age", M331&gt;44, "Elderly (45+)", M331&gt;29, "Middle Age (30+)", M331&gt;22, "Adult (23+)", M331&gt;15, "Teen/Young Adult (16+)")</f>
        <v>Elderly (45+)</v>
      </c>
      <c r="O331" s="3" t="s">
        <v>18</v>
      </c>
    </row>
    <row r="332" spans="1:15" x14ac:dyDescent="0.3">
      <c r="A332" s="4">
        <v>24898</v>
      </c>
      <c r="B332" s="3" t="s">
        <v>40</v>
      </c>
      <c r="C332" s="3" t="s">
        <v>41</v>
      </c>
      <c r="D332" s="11">
        <v>80000</v>
      </c>
      <c r="E332" s="9" t="str" cm="1">
        <f t="array" ref="E332">_xlfn.IFS(D332&gt;149000, "Very High", D332&gt;99000, "High", D332&gt;59999, "Average", D332&gt;19999, "Low", D332&gt;0, "Poverty")</f>
        <v>Average</v>
      </c>
      <c r="F332" s="3">
        <v>0</v>
      </c>
      <c r="G332" t="s">
        <v>13</v>
      </c>
      <c r="H332" t="s">
        <v>21</v>
      </c>
      <c r="I332" s="3" t="s">
        <v>15</v>
      </c>
      <c r="J332" s="3">
        <v>3</v>
      </c>
      <c r="K332" t="s">
        <v>30</v>
      </c>
      <c r="L332" t="s">
        <v>24</v>
      </c>
      <c r="M332" s="3">
        <v>32</v>
      </c>
      <c r="N332" s="3" t="str" cm="1">
        <f t="array" ref="N332">_xlfn.IFS(M332&gt;59, "Pension Age", M332&gt;44, "Elderly (45+)", M332&gt;29, "Middle Age (30+)", M332&gt;22, "Adult (23+)", M332&gt;15, "Teen/Young Adult (16+)")</f>
        <v>Middle Age (30+)</v>
      </c>
      <c r="O332" s="3" t="s">
        <v>18</v>
      </c>
    </row>
    <row r="333" spans="1:15" x14ac:dyDescent="0.3">
      <c r="A333" s="4">
        <v>19508</v>
      </c>
      <c r="B333" s="3" t="s">
        <v>39</v>
      </c>
      <c r="C333" s="3" t="s">
        <v>42</v>
      </c>
      <c r="D333" s="11">
        <v>10000</v>
      </c>
      <c r="E333" s="9" t="str" cm="1">
        <f t="array" ref="E333">_xlfn.IFS(D333&gt;149000, "Very High", D333&gt;99000, "High", D333&gt;59999, "Average", D333&gt;19999, "Low", D333&gt;0, "Poverty")</f>
        <v>Poverty</v>
      </c>
      <c r="F333" s="3">
        <v>0</v>
      </c>
      <c r="G333" t="s">
        <v>29</v>
      </c>
      <c r="H333" t="s">
        <v>25</v>
      </c>
      <c r="I333" s="3" t="s">
        <v>18</v>
      </c>
      <c r="J333" s="3">
        <v>2</v>
      </c>
      <c r="K333" t="s">
        <v>16</v>
      </c>
      <c r="L333" t="s">
        <v>17</v>
      </c>
      <c r="M333" s="3">
        <v>30</v>
      </c>
      <c r="N333" s="3" t="str" cm="1">
        <f t="array" ref="N333">_xlfn.IFS(M333&gt;59, "Pension Age", M333&gt;44, "Elderly (45+)", M333&gt;29, "Middle Age (30+)", M333&gt;22, "Adult (23+)", M333&gt;15, "Teen/Young Adult (16+)")</f>
        <v>Middle Age (30+)</v>
      </c>
      <c r="O333" s="3" t="s">
        <v>18</v>
      </c>
    </row>
    <row r="334" spans="1:15" x14ac:dyDescent="0.3">
      <c r="A334" s="4">
        <v>11489</v>
      </c>
      <c r="B334" s="3" t="s">
        <v>40</v>
      </c>
      <c r="C334" s="3" t="s">
        <v>41</v>
      </c>
      <c r="D334" s="11">
        <v>20000</v>
      </c>
      <c r="E334" s="9" t="str" cm="1">
        <f t="array" ref="E334">_xlfn.IFS(D334&gt;149000, "Very High", D334&gt;99000, "High", D334&gt;59999, "Average", D334&gt;19999, "Low", D334&gt;0, "Poverty")</f>
        <v>Low</v>
      </c>
      <c r="F334" s="3">
        <v>0</v>
      </c>
      <c r="G334" t="s">
        <v>29</v>
      </c>
      <c r="H334" t="s">
        <v>25</v>
      </c>
      <c r="I334" s="3" t="s">
        <v>18</v>
      </c>
      <c r="J334" s="3">
        <v>2</v>
      </c>
      <c r="K334" t="s">
        <v>26</v>
      </c>
      <c r="L334" t="s">
        <v>17</v>
      </c>
      <c r="M334" s="3">
        <v>35</v>
      </c>
      <c r="N334" s="3" t="str" cm="1">
        <f t="array" ref="N334">_xlfn.IFS(M334&gt;59, "Pension Age", M334&gt;44, "Elderly (45+)", M334&gt;29, "Middle Age (30+)", M334&gt;22, "Adult (23+)", M334&gt;15, "Teen/Young Adult (16+)")</f>
        <v>Middle Age (30+)</v>
      </c>
      <c r="O334" s="3" t="s">
        <v>15</v>
      </c>
    </row>
    <row r="335" spans="1:15" x14ac:dyDescent="0.3">
      <c r="A335" s="4">
        <v>18160</v>
      </c>
      <c r="B335" s="3" t="s">
        <v>39</v>
      </c>
      <c r="C335" s="3" t="s">
        <v>42</v>
      </c>
      <c r="D335" s="11">
        <v>130000</v>
      </c>
      <c r="E335" s="9" t="str" cm="1">
        <f t="array" ref="E335">_xlfn.IFS(D335&gt;149000, "Very High", D335&gt;99000, "High", D335&gt;59999, "Average", D335&gt;19999, "Low", D335&gt;0, "Poverty")</f>
        <v>High</v>
      </c>
      <c r="F335" s="3">
        <v>3</v>
      </c>
      <c r="G335" t="s">
        <v>27</v>
      </c>
      <c r="H335" t="s">
        <v>21</v>
      </c>
      <c r="I335" s="3" t="s">
        <v>15</v>
      </c>
      <c r="J335" s="3">
        <v>4</v>
      </c>
      <c r="K335" t="s">
        <v>23</v>
      </c>
      <c r="L335" t="s">
        <v>17</v>
      </c>
      <c r="M335" s="3">
        <v>51</v>
      </c>
      <c r="N335" s="3" t="str" cm="1">
        <f t="array" ref="N335">_xlfn.IFS(M335&gt;59, "Pension Age", M335&gt;44, "Elderly (45+)", M335&gt;29, "Middle Age (30+)", M335&gt;22, "Adult (23+)", M335&gt;15, "Teen/Young Adult (16+)")</f>
        <v>Elderly (45+)</v>
      </c>
      <c r="O335" s="3" t="s">
        <v>15</v>
      </c>
    </row>
    <row r="336" spans="1:15" x14ac:dyDescent="0.3">
      <c r="A336" s="4">
        <v>25241</v>
      </c>
      <c r="B336" s="3" t="s">
        <v>39</v>
      </c>
      <c r="C336" s="3" t="s">
        <v>42</v>
      </c>
      <c r="D336" s="11">
        <v>90000</v>
      </c>
      <c r="E336" s="9" t="str" cm="1">
        <f t="array" ref="E336">_xlfn.IFS(D336&gt;149000, "Very High", D336&gt;99000, "High", D336&gt;59999, "Average", D336&gt;19999, "Low", D336&gt;0, "Poverty")</f>
        <v>Average</v>
      </c>
      <c r="F336" s="3">
        <v>2</v>
      </c>
      <c r="G336" t="s">
        <v>13</v>
      </c>
      <c r="H336" t="s">
        <v>21</v>
      </c>
      <c r="I336" s="3" t="s">
        <v>15</v>
      </c>
      <c r="J336" s="3">
        <v>1</v>
      </c>
      <c r="K336" t="s">
        <v>23</v>
      </c>
      <c r="L336" t="s">
        <v>24</v>
      </c>
      <c r="M336" s="3">
        <v>47</v>
      </c>
      <c r="N336" s="3" t="str" cm="1">
        <f t="array" ref="N336">_xlfn.IFS(M336&gt;59, "Pension Age", M336&gt;44, "Elderly (45+)", M336&gt;29, "Middle Age (30+)", M336&gt;22, "Adult (23+)", M336&gt;15, "Teen/Young Adult (16+)")</f>
        <v>Elderly (45+)</v>
      </c>
      <c r="O336" s="3" t="s">
        <v>18</v>
      </c>
    </row>
    <row r="337" spans="1:15" x14ac:dyDescent="0.3">
      <c r="A337" s="4">
        <v>24369</v>
      </c>
      <c r="B337" s="3" t="s">
        <v>39</v>
      </c>
      <c r="C337" s="3" t="s">
        <v>42</v>
      </c>
      <c r="D337" s="11">
        <v>80000</v>
      </c>
      <c r="E337" s="9" t="str" cm="1">
        <f t="array" ref="E337">_xlfn.IFS(D337&gt;149000, "Very High", D337&gt;99000, "High", D337&gt;59999, "Average", D337&gt;19999, "Low", D337&gt;0, "Poverty")</f>
        <v>Average</v>
      </c>
      <c r="F337" s="3">
        <v>5</v>
      </c>
      <c r="G337" t="s">
        <v>31</v>
      </c>
      <c r="H337" t="s">
        <v>28</v>
      </c>
      <c r="I337" s="3" t="s">
        <v>18</v>
      </c>
      <c r="J337" s="3">
        <v>2</v>
      </c>
      <c r="K337" t="s">
        <v>16</v>
      </c>
      <c r="L337" t="s">
        <v>24</v>
      </c>
      <c r="M337" s="3">
        <v>39</v>
      </c>
      <c r="N337" s="3" t="str" cm="1">
        <f t="array" ref="N337">_xlfn.IFS(M337&gt;59, "Pension Age", M337&gt;44, "Elderly (45+)", M337&gt;29, "Middle Age (30+)", M337&gt;22, "Adult (23+)", M337&gt;15, "Teen/Young Adult (16+)")</f>
        <v>Middle Age (30+)</v>
      </c>
      <c r="O337" s="3" t="s">
        <v>18</v>
      </c>
    </row>
    <row r="338" spans="1:15" x14ac:dyDescent="0.3">
      <c r="A338" s="4">
        <v>27165</v>
      </c>
      <c r="B338" s="3" t="s">
        <v>40</v>
      </c>
      <c r="C338" s="3" t="s">
        <v>42</v>
      </c>
      <c r="D338" s="11">
        <v>20000</v>
      </c>
      <c r="E338" s="9" t="str" cm="1">
        <f t="array" ref="E338">_xlfn.IFS(D338&gt;149000, "Very High", D338&gt;99000, "High", D338&gt;59999, "Average", D338&gt;19999, "Low", D338&gt;0, "Poverty")</f>
        <v>Low</v>
      </c>
      <c r="F338" s="3">
        <v>0</v>
      </c>
      <c r="G338" t="s">
        <v>29</v>
      </c>
      <c r="H338" t="s">
        <v>25</v>
      </c>
      <c r="I338" s="3" t="s">
        <v>18</v>
      </c>
      <c r="J338" s="3">
        <v>2</v>
      </c>
      <c r="K338" t="s">
        <v>16</v>
      </c>
      <c r="L338" t="s">
        <v>17</v>
      </c>
      <c r="M338" s="3">
        <v>34</v>
      </c>
      <c r="N338" s="3" t="str" cm="1">
        <f t="array" ref="N338">_xlfn.IFS(M338&gt;59, "Pension Age", M338&gt;44, "Elderly (45+)", M338&gt;29, "Middle Age (30+)", M338&gt;22, "Adult (23+)", M338&gt;15, "Teen/Young Adult (16+)")</f>
        <v>Middle Age (30+)</v>
      </c>
      <c r="O338" s="3" t="s">
        <v>18</v>
      </c>
    </row>
    <row r="339" spans="1:15" x14ac:dyDescent="0.3">
      <c r="A339" s="4">
        <v>29424</v>
      </c>
      <c r="B339" s="3" t="s">
        <v>39</v>
      </c>
      <c r="C339" s="3" t="s">
        <v>42</v>
      </c>
      <c r="D339" s="11">
        <v>10000</v>
      </c>
      <c r="E339" s="9" t="str" cm="1">
        <f t="array" ref="E339">_xlfn.IFS(D339&gt;149000, "Very High", D339&gt;99000, "High", D339&gt;59999, "Average", D339&gt;19999, "Low", D339&gt;0, "Poverty")</f>
        <v>Poverty</v>
      </c>
      <c r="F339" s="3">
        <v>0</v>
      </c>
      <c r="G339" t="s">
        <v>29</v>
      </c>
      <c r="H339" t="s">
        <v>25</v>
      </c>
      <c r="I339" s="3" t="s">
        <v>15</v>
      </c>
      <c r="J339" s="3">
        <v>2</v>
      </c>
      <c r="K339" t="s">
        <v>16</v>
      </c>
      <c r="L339" t="s">
        <v>17</v>
      </c>
      <c r="M339" s="3">
        <v>32</v>
      </c>
      <c r="N339" s="3" t="str" cm="1">
        <f t="array" ref="N339">_xlfn.IFS(M339&gt;59, "Pension Age", M339&gt;44, "Elderly (45+)", M339&gt;29, "Middle Age (30+)", M339&gt;22, "Adult (23+)", M339&gt;15, "Teen/Young Adult (16+)")</f>
        <v>Middle Age (30+)</v>
      </c>
      <c r="O339" s="3" t="s">
        <v>18</v>
      </c>
    </row>
    <row r="340" spans="1:15" x14ac:dyDescent="0.3">
      <c r="A340" s="4">
        <v>15926</v>
      </c>
      <c r="B340" s="3" t="s">
        <v>40</v>
      </c>
      <c r="C340" s="3" t="s">
        <v>41</v>
      </c>
      <c r="D340" s="11">
        <v>120000</v>
      </c>
      <c r="E340" s="9" t="str" cm="1">
        <f t="array" ref="E340">_xlfn.IFS(D340&gt;149000, "Very High", D340&gt;99000, "High", D340&gt;59999, "Average", D340&gt;19999, "Low", D340&gt;0, "Poverty")</f>
        <v>High</v>
      </c>
      <c r="F340" s="3">
        <v>3</v>
      </c>
      <c r="G340" t="s">
        <v>27</v>
      </c>
      <c r="H340" t="s">
        <v>21</v>
      </c>
      <c r="I340" s="3" t="s">
        <v>15</v>
      </c>
      <c r="J340" s="3">
        <v>4</v>
      </c>
      <c r="K340" t="s">
        <v>23</v>
      </c>
      <c r="L340" t="s">
        <v>17</v>
      </c>
      <c r="M340" s="3">
        <v>50</v>
      </c>
      <c r="N340" s="3" t="str" cm="1">
        <f t="array" ref="N340">_xlfn.IFS(M340&gt;59, "Pension Age", M340&gt;44, "Elderly (45+)", M340&gt;29, "Middle Age (30+)", M340&gt;22, "Adult (23+)", M340&gt;15, "Teen/Young Adult (16+)")</f>
        <v>Elderly (45+)</v>
      </c>
      <c r="O340" s="3" t="s">
        <v>15</v>
      </c>
    </row>
    <row r="341" spans="1:15" x14ac:dyDescent="0.3">
      <c r="A341" s="4">
        <v>14554</v>
      </c>
      <c r="B341" s="3" t="s">
        <v>39</v>
      </c>
      <c r="C341" s="3" t="s">
        <v>42</v>
      </c>
      <c r="D341" s="11">
        <v>20000</v>
      </c>
      <c r="E341" s="9" t="str" cm="1">
        <f t="array" ref="E341">_xlfn.IFS(D341&gt;149000, "Very High", D341&gt;99000, "High", D341&gt;59999, "Average", D341&gt;19999, "Low", D341&gt;0, "Poverty")</f>
        <v>Low</v>
      </c>
      <c r="F341" s="3">
        <v>1</v>
      </c>
      <c r="G341" t="s">
        <v>13</v>
      </c>
      <c r="H341" t="s">
        <v>20</v>
      </c>
      <c r="I341" s="3" t="s">
        <v>15</v>
      </c>
      <c r="J341" s="3">
        <v>0</v>
      </c>
      <c r="K341" t="s">
        <v>16</v>
      </c>
      <c r="L341" t="s">
        <v>17</v>
      </c>
      <c r="M341" s="3">
        <v>66</v>
      </c>
      <c r="N341" s="3" t="str" cm="1">
        <f t="array" ref="N341">_xlfn.IFS(M341&gt;59, "Pension Age", M341&gt;44, "Elderly (45+)", M341&gt;29, "Middle Age (30+)", M341&gt;22, "Adult (23+)", M341&gt;15, "Teen/Young Adult (16+)")</f>
        <v>Pension Age</v>
      </c>
      <c r="O341" s="3" t="s">
        <v>18</v>
      </c>
    </row>
    <row r="342" spans="1:15" x14ac:dyDescent="0.3">
      <c r="A342" s="4">
        <v>16468</v>
      </c>
      <c r="B342" s="3" t="s">
        <v>40</v>
      </c>
      <c r="C342" s="3" t="s">
        <v>42</v>
      </c>
      <c r="D342" s="11">
        <v>30000</v>
      </c>
      <c r="E342" s="9" t="str" cm="1">
        <f t="array" ref="E342">_xlfn.IFS(D342&gt;149000, "Very High", D342&gt;99000, "High", D342&gt;59999, "Average", D342&gt;19999, "Low", D342&gt;0, "Poverty")</f>
        <v>Low</v>
      </c>
      <c r="F342" s="3">
        <v>0</v>
      </c>
      <c r="G342" t="s">
        <v>19</v>
      </c>
      <c r="H342" t="s">
        <v>20</v>
      </c>
      <c r="I342" s="3" t="s">
        <v>15</v>
      </c>
      <c r="J342" s="3">
        <v>1</v>
      </c>
      <c r="K342" t="s">
        <v>22</v>
      </c>
      <c r="L342" t="s">
        <v>17</v>
      </c>
      <c r="M342" s="3">
        <v>30</v>
      </c>
      <c r="N342" s="3" t="str" cm="1">
        <f t="array" ref="N342">_xlfn.IFS(M342&gt;59, "Pension Age", M342&gt;44, "Elderly (45+)", M342&gt;29, "Middle Age (30+)", M342&gt;22, "Adult (23+)", M342&gt;15, "Teen/Young Adult (16+)")</f>
        <v>Middle Age (30+)</v>
      </c>
      <c r="O342" s="3" t="s">
        <v>18</v>
      </c>
    </row>
    <row r="343" spans="1:15" x14ac:dyDescent="0.3">
      <c r="A343" s="4">
        <v>19174</v>
      </c>
      <c r="B343" s="3" t="s">
        <v>40</v>
      </c>
      <c r="C343" s="3" t="s">
        <v>41</v>
      </c>
      <c r="D343" s="11">
        <v>30000</v>
      </c>
      <c r="E343" s="9" t="str" cm="1">
        <f t="array" ref="E343">_xlfn.IFS(D343&gt;149000, "Very High", D343&gt;99000, "High", D343&gt;59999, "Average", D343&gt;19999, "Low", D343&gt;0, "Poverty")</f>
        <v>Low</v>
      </c>
      <c r="F343" s="3">
        <v>0</v>
      </c>
      <c r="G343" t="s">
        <v>27</v>
      </c>
      <c r="H343" t="s">
        <v>25</v>
      </c>
      <c r="I343" s="3" t="s">
        <v>18</v>
      </c>
      <c r="J343" s="3">
        <v>1</v>
      </c>
      <c r="K343" t="s">
        <v>22</v>
      </c>
      <c r="L343" t="s">
        <v>17</v>
      </c>
      <c r="M343" s="3">
        <v>32</v>
      </c>
      <c r="N343" s="3" t="str" cm="1">
        <f t="array" ref="N343">_xlfn.IFS(M343&gt;59, "Pension Age", M343&gt;44, "Elderly (45+)", M343&gt;29, "Middle Age (30+)", M343&gt;22, "Adult (23+)", M343&gt;15, "Teen/Young Adult (16+)")</f>
        <v>Middle Age (30+)</v>
      </c>
      <c r="O343" s="3" t="s">
        <v>15</v>
      </c>
    </row>
    <row r="344" spans="1:15" x14ac:dyDescent="0.3">
      <c r="A344" s="4">
        <v>19183</v>
      </c>
      <c r="B344" s="3" t="s">
        <v>40</v>
      </c>
      <c r="C344" s="3" t="s">
        <v>42</v>
      </c>
      <c r="D344" s="11">
        <v>10000</v>
      </c>
      <c r="E344" s="9" t="str" cm="1">
        <f t="array" ref="E344">_xlfn.IFS(D344&gt;149000, "Very High", D344&gt;99000, "High", D344&gt;59999, "Average", D344&gt;19999, "Low", D344&gt;0, "Poverty")</f>
        <v>Poverty</v>
      </c>
      <c r="F344" s="3">
        <v>0</v>
      </c>
      <c r="G344" t="s">
        <v>29</v>
      </c>
      <c r="H344" t="s">
        <v>25</v>
      </c>
      <c r="I344" s="3" t="s">
        <v>15</v>
      </c>
      <c r="J344" s="3">
        <v>2</v>
      </c>
      <c r="K344" t="s">
        <v>26</v>
      </c>
      <c r="L344" t="s">
        <v>17</v>
      </c>
      <c r="M344" s="3">
        <v>35</v>
      </c>
      <c r="N344" s="3" t="str" cm="1">
        <f t="array" ref="N344">_xlfn.IFS(M344&gt;59, "Pension Age", M344&gt;44, "Elderly (45+)", M344&gt;29, "Middle Age (30+)", M344&gt;22, "Adult (23+)", M344&gt;15, "Teen/Young Adult (16+)")</f>
        <v>Middle Age (30+)</v>
      </c>
      <c r="O344" s="3" t="s">
        <v>18</v>
      </c>
    </row>
    <row r="345" spans="1:15" x14ac:dyDescent="0.3">
      <c r="A345" s="4">
        <v>13683</v>
      </c>
      <c r="B345" s="3" t="s">
        <v>40</v>
      </c>
      <c r="C345" s="3" t="s">
        <v>41</v>
      </c>
      <c r="D345" s="11">
        <v>30000</v>
      </c>
      <c r="E345" s="9" t="str" cm="1">
        <f t="array" ref="E345">_xlfn.IFS(D345&gt;149000, "Very High", D345&gt;99000, "High", D345&gt;59999, "Average", D345&gt;19999, "Low", D345&gt;0, "Poverty")</f>
        <v>Low</v>
      </c>
      <c r="F345" s="3">
        <v>0</v>
      </c>
      <c r="G345" t="s">
        <v>27</v>
      </c>
      <c r="H345" t="s">
        <v>25</v>
      </c>
      <c r="I345" s="3" t="s">
        <v>18</v>
      </c>
      <c r="J345" s="3">
        <v>1</v>
      </c>
      <c r="K345" t="s">
        <v>22</v>
      </c>
      <c r="L345" t="s">
        <v>17</v>
      </c>
      <c r="M345" s="3">
        <v>32</v>
      </c>
      <c r="N345" s="3" t="str" cm="1">
        <f t="array" ref="N345">_xlfn.IFS(M345&gt;59, "Pension Age", M345&gt;44, "Elderly (45+)", M345&gt;29, "Middle Age (30+)", M345&gt;22, "Adult (23+)", M345&gt;15, "Teen/Young Adult (16+)")</f>
        <v>Middle Age (30+)</v>
      </c>
      <c r="O345" s="3" t="s">
        <v>18</v>
      </c>
    </row>
    <row r="346" spans="1:15" x14ac:dyDescent="0.3">
      <c r="A346" s="4">
        <v>17848</v>
      </c>
      <c r="B346" s="3" t="s">
        <v>40</v>
      </c>
      <c r="C346" s="3" t="s">
        <v>42</v>
      </c>
      <c r="D346" s="11">
        <v>30000</v>
      </c>
      <c r="E346" s="9" t="str" cm="1">
        <f t="array" ref="E346">_xlfn.IFS(D346&gt;149000, "Very High", D346&gt;99000, "High", D346&gt;59999, "Average", D346&gt;19999, "Low", D346&gt;0, "Poverty")</f>
        <v>Low</v>
      </c>
      <c r="F346" s="3">
        <v>0</v>
      </c>
      <c r="G346" t="s">
        <v>19</v>
      </c>
      <c r="H346" t="s">
        <v>20</v>
      </c>
      <c r="I346" s="3" t="s">
        <v>18</v>
      </c>
      <c r="J346" s="3">
        <v>1</v>
      </c>
      <c r="K346" t="s">
        <v>22</v>
      </c>
      <c r="L346" t="s">
        <v>17</v>
      </c>
      <c r="M346" s="3">
        <v>31</v>
      </c>
      <c r="N346" s="3" t="str" cm="1">
        <f t="array" ref="N346">_xlfn.IFS(M346&gt;59, "Pension Age", M346&gt;44, "Elderly (45+)", M346&gt;29, "Middle Age (30+)", M346&gt;22, "Adult (23+)", M346&gt;15, "Teen/Young Adult (16+)")</f>
        <v>Middle Age (30+)</v>
      </c>
      <c r="O346" s="3" t="s">
        <v>15</v>
      </c>
    </row>
    <row r="347" spans="1:15" x14ac:dyDescent="0.3">
      <c r="A347" s="4">
        <v>17894</v>
      </c>
      <c r="B347" s="3" t="s">
        <v>39</v>
      </c>
      <c r="C347" s="3" t="s">
        <v>41</v>
      </c>
      <c r="D347" s="11">
        <v>20000</v>
      </c>
      <c r="E347" s="9" t="str" cm="1">
        <f t="array" ref="E347">_xlfn.IFS(D347&gt;149000, "Very High", D347&gt;99000, "High", D347&gt;59999, "Average", D347&gt;19999, "Low", D347&gt;0, "Poverty")</f>
        <v>Low</v>
      </c>
      <c r="F347" s="3">
        <v>1</v>
      </c>
      <c r="G347" t="s">
        <v>13</v>
      </c>
      <c r="H347" t="s">
        <v>20</v>
      </c>
      <c r="I347" s="3" t="s">
        <v>15</v>
      </c>
      <c r="J347" s="3">
        <v>0</v>
      </c>
      <c r="K347" t="s">
        <v>16</v>
      </c>
      <c r="L347" t="s">
        <v>17</v>
      </c>
      <c r="M347" s="3">
        <v>50</v>
      </c>
      <c r="N347" s="3" t="str" cm="1">
        <f t="array" ref="N347">_xlfn.IFS(M347&gt;59, "Pension Age", M347&gt;44, "Elderly (45+)", M347&gt;29, "Middle Age (30+)", M347&gt;22, "Adult (23+)", M347&gt;15, "Teen/Young Adult (16+)")</f>
        <v>Elderly (45+)</v>
      </c>
      <c r="O347" s="3" t="s">
        <v>15</v>
      </c>
    </row>
    <row r="348" spans="1:15" x14ac:dyDescent="0.3">
      <c r="A348" s="4">
        <v>25651</v>
      </c>
      <c r="B348" s="3" t="s">
        <v>39</v>
      </c>
      <c r="C348" s="3" t="s">
        <v>42</v>
      </c>
      <c r="D348" s="11">
        <v>40000</v>
      </c>
      <c r="E348" s="9" t="str" cm="1">
        <f t="array" ref="E348">_xlfn.IFS(D348&gt;149000, "Very High", D348&gt;99000, "High", D348&gt;59999, "Average", D348&gt;19999, "Low", D348&gt;0, "Poverty")</f>
        <v>Low</v>
      </c>
      <c r="F348" s="3">
        <v>1</v>
      </c>
      <c r="G348" t="s">
        <v>13</v>
      </c>
      <c r="H348" t="s">
        <v>14</v>
      </c>
      <c r="I348" s="3" t="s">
        <v>18</v>
      </c>
      <c r="J348" s="3">
        <v>0</v>
      </c>
      <c r="K348" t="s">
        <v>16</v>
      </c>
      <c r="L348" t="s">
        <v>17</v>
      </c>
      <c r="M348" s="3">
        <v>43</v>
      </c>
      <c r="N348" s="3" t="str" cm="1">
        <f t="array" ref="N348">_xlfn.IFS(M348&gt;59, "Pension Age", M348&gt;44, "Elderly (45+)", M348&gt;29, "Middle Age (30+)", M348&gt;22, "Adult (23+)", M348&gt;15, "Teen/Young Adult (16+)")</f>
        <v>Middle Age (30+)</v>
      </c>
      <c r="O348" s="3" t="s">
        <v>15</v>
      </c>
    </row>
    <row r="349" spans="1:15" x14ac:dyDescent="0.3">
      <c r="A349" s="4">
        <v>22936</v>
      </c>
      <c r="B349" s="3" t="s">
        <v>40</v>
      </c>
      <c r="C349" s="3" t="s">
        <v>41</v>
      </c>
      <c r="D349" s="11">
        <v>60000</v>
      </c>
      <c r="E349" s="9" t="str" cm="1">
        <f t="array" ref="E349">_xlfn.IFS(D349&gt;149000, "Very High", D349&gt;99000, "High", D349&gt;59999, "Average", D349&gt;19999, "Low", D349&gt;0, "Poverty")</f>
        <v>Average</v>
      </c>
      <c r="F349" s="3">
        <v>1</v>
      </c>
      <c r="G349" t="s">
        <v>19</v>
      </c>
      <c r="H349" t="s">
        <v>14</v>
      </c>
      <c r="I349" s="3" t="s">
        <v>18</v>
      </c>
      <c r="J349" s="3">
        <v>1</v>
      </c>
      <c r="K349" t="s">
        <v>16</v>
      </c>
      <c r="L349" t="s">
        <v>24</v>
      </c>
      <c r="M349" s="3">
        <v>45</v>
      </c>
      <c r="N349" s="3" t="str" cm="1">
        <f t="array" ref="N349">_xlfn.IFS(M349&gt;59, "Pension Age", M349&gt;44, "Elderly (45+)", M349&gt;29, "Middle Age (30+)", M349&gt;22, "Adult (23+)", M349&gt;15, "Teen/Young Adult (16+)")</f>
        <v>Elderly (45+)</v>
      </c>
      <c r="O349" s="3" t="s">
        <v>15</v>
      </c>
    </row>
    <row r="350" spans="1:15" x14ac:dyDescent="0.3">
      <c r="A350" s="4">
        <v>23915</v>
      </c>
      <c r="B350" s="3" t="s">
        <v>39</v>
      </c>
      <c r="C350" s="3" t="s">
        <v>42</v>
      </c>
      <c r="D350" s="11">
        <v>20000</v>
      </c>
      <c r="E350" s="9" t="str" cm="1">
        <f t="array" ref="E350">_xlfn.IFS(D350&gt;149000, "Very High", D350&gt;99000, "High", D350&gt;59999, "Average", D350&gt;19999, "Low", D350&gt;0, "Poverty")</f>
        <v>Low</v>
      </c>
      <c r="F350" s="3">
        <v>2</v>
      </c>
      <c r="G350" t="s">
        <v>27</v>
      </c>
      <c r="H350" t="s">
        <v>25</v>
      </c>
      <c r="I350" s="3" t="s">
        <v>15</v>
      </c>
      <c r="J350" s="3">
        <v>2</v>
      </c>
      <c r="K350" t="s">
        <v>16</v>
      </c>
      <c r="L350" t="s">
        <v>17</v>
      </c>
      <c r="M350" s="3">
        <v>42</v>
      </c>
      <c r="N350" s="3" t="str" cm="1">
        <f t="array" ref="N350">_xlfn.IFS(M350&gt;59, "Pension Age", M350&gt;44, "Elderly (45+)", M350&gt;29, "Middle Age (30+)", M350&gt;22, "Adult (23+)", M350&gt;15, "Teen/Young Adult (16+)")</f>
        <v>Middle Age (30+)</v>
      </c>
      <c r="O350" s="3" t="s">
        <v>18</v>
      </c>
    </row>
    <row r="351" spans="1:15" x14ac:dyDescent="0.3">
      <c r="A351" s="4">
        <v>24121</v>
      </c>
      <c r="B351" s="3" t="s">
        <v>40</v>
      </c>
      <c r="C351" s="3" t="s">
        <v>41</v>
      </c>
      <c r="D351" s="11">
        <v>30000</v>
      </c>
      <c r="E351" s="9" t="str" cm="1">
        <f t="array" ref="E351">_xlfn.IFS(D351&gt;149000, "Very High", D351&gt;99000, "High", D351&gt;59999, "Average", D351&gt;19999, "Low", D351&gt;0, "Poverty")</f>
        <v>Low</v>
      </c>
      <c r="F351" s="3">
        <v>0</v>
      </c>
      <c r="G351" t="s">
        <v>19</v>
      </c>
      <c r="H351" t="s">
        <v>20</v>
      </c>
      <c r="I351" s="3" t="s">
        <v>18</v>
      </c>
      <c r="J351" s="3">
        <v>1</v>
      </c>
      <c r="K351" t="s">
        <v>16</v>
      </c>
      <c r="L351" t="s">
        <v>17</v>
      </c>
      <c r="M351" s="3">
        <v>29</v>
      </c>
      <c r="N351" s="3" t="str" cm="1">
        <f t="array" ref="N351">_xlfn.IFS(M351&gt;59, "Pension Age", M351&gt;44, "Elderly (45+)", M351&gt;29, "Middle Age (30+)", M351&gt;22, "Adult (23+)", M351&gt;15, "Teen/Young Adult (16+)")</f>
        <v>Adult (23+)</v>
      </c>
      <c r="O351" s="3" t="s">
        <v>15</v>
      </c>
    </row>
    <row r="352" spans="1:15" x14ac:dyDescent="0.3">
      <c r="A352" s="4">
        <v>27878</v>
      </c>
      <c r="B352" s="3" t="s">
        <v>40</v>
      </c>
      <c r="C352" s="3" t="s">
        <v>42</v>
      </c>
      <c r="D352" s="11">
        <v>20000</v>
      </c>
      <c r="E352" s="9" t="str" cm="1">
        <f t="array" ref="E352">_xlfn.IFS(D352&gt;149000, "Very High", D352&gt;99000, "High", D352&gt;59999, "Average", D352&gt;19999, "Low", D352&gt;0, "Poverty")</f>
        <v>Low</v>
      </c>
      <c r="F352" s="3">
        <v>0</v>
      </c>
      <c r="G352" t="s">
        <v>19</v>
      </c>
      <c r="H352" t="s">
        <v>25</v>
      </c>
      <c r="I352" s="3" t="s">
        <v>18</v>
      </c>
      <c r="J352" s="3">
        <v>0</v>
      </c>
      <c r="K352" t="s">
        <v>16</v>
      </c>
      <c r="L352" t="s">
        <v>24</v>
      </c>
      <c r="M352" s="3">
        <v>28</v>
      </c>
      <c r="N352" s="3" t="str" cm="1">
        <f t="array" ref="N352">_xlfn.IFS(M352&gt;59, "Pension Age", M352&gt;44, "Elderly (45+)", M352&gt;29, "Middle Age (30+)", M352&gt;22, "Adult (23+)", M352&gt;15, "Teen/Young Adult (16+)")</f>
        <v>Adult (23+)</v>
      </c>
      <c r="O352" s="3" t="s">
        <v>15</v>
      </c>
    </row>
    <row r="353" spans="1:15" x14ac:dyDescent="0.3">
      <c r="A353" s="4">
        <v>13572</v>
      </c>
      <c r="B353" s="3" t="s">
        <v>40</v>
      </c>
      <c r="C353" s="3" t="s">
        <v>42</v>
      </c>
      <c r="D353" s="11">
        <v>10000</v>
      </c>
      <c r="E353" s="9" t="str" cm="1">
        <f t="array" ref="E353">_xlfn.IFS(D353&gt;149000, "Very High", D353&gt;99000, "High", D353&gt;59999, "Average", D353&gt;19999, "Low", D353&gt;0, "Poverty")</f>
        <v>Poverty</v>
      </c>
      <c r="F353" s="3">
        <v>3</v>
      </c>
      <c r="G353" t="s">
        <v>27</v>
      </c>
      <c r="H353" t="s">
        <v>25</v>
      </c>
      <c r="I353" s="3" t="s">
        <v>15</v>
      </c>
      <c r="J353" s="3">
        <v>0</v>
      </c>
      <c r="K353" t="s">
        <v>16</v>
      </c>
      <c r="L353" t="s">
        <v>17</v>
      </c>
      <c r="M353" s="3">
        <v>37</v>
      </c>
      <c r="N353" s="3" t="str" cm="1">
        <f t="array" ref="N353">_xlfn.IFS(M353&gt;59, "Pension Age", M353&gt;44, "Elderly (45+)", M353&gt;29, "Middle Age (30+)", M353&gt;22, "Adult (23+)", M353&gt;15, "Teen/Young Adult (16+)")</f>
        <v>Middle Age (30+)</v>
      </c>
      <c r="O353" s="3" t="s">
        <v>15</v>
      </c>
    </row>
    <row r="354" spans="1:15" x14ac:dyDescent="0.3">
      <c r="A354" s="4">
        <v>27941</v>
      </c>
      <c r="B354" s="3" t="s">
        <v>39</v>
      </c>
      <c r="C354" s="3" t="s">
        <v>41</v>
      </c>
      <c r="D354" s="11">
        <v>80000</v>
      </c>
      <c r="E354" s="9" t="str" cm="1">
        <f t="array" ref="E354">_xlfn.IFS(D354&gt;149000, "Very High", D354&gt;99000, "High", D354&gt;59999, "Average", D354&gt;19999, "Low", D354&gt;0, "Poverty")</f>
        <v>Average</v>
      </c>
      <c r="F354" s="3">
        <v>4</v>
      </c>
      <c r="G354" t="s">
        <v>19</v>
      </c>
      <c r="H354" t="s">
        <v>21</v>
      </c>
      <c r="I354" s="3" t="s">
        <v>15</v>
      </c>
      <c r="J354" s="3">
        <v>2</v>
      </c>
      <c r="K354" t="s">
        <v>22</v>
      </c>
      <c r="L354" t="s">
        <v>17</v>
      </c>
      <c r="M354" s="3">
        <v>53</v>
      </c>
      <c r="N354" s="3" t="str" cm="1">
        <f t="array" ref="N354">_xlfn.IFS(M354&gt;59, "Pension Age", M354&gt;44, "Elderly (45+)", M354&gt;29, "Middle Age (30+)", M354&gt;22, "Adult (23+)", M354&gt;15, "Teen/Young Adult (16+)")</f>
        <v>Elderly (45+)</v>
      </c>
      <c r="O354" s="3" t="s">
        <v>18</v>
      </c>
    </row>
    <row r="355" spans="1:15" x14ac:dyDescent="0.3">
      <c r="A355" s="4">
        <v>26354</v>
      </c>
      <c r="B355" s="3" t="s">
        <v>40</v>
      </c>
      <c r="C355" s="3" t="s">
        <v>42</v>
      </c>
      <c r="D355" s="11">
        <v>40000</v>
      </c>
      <c r="E355" s="9" t="str" cm="1">
        <f t="array" ref="E355">_xlfn.IFS(D355&gt;149000, "Very High", D355&gt;99000, "High", D355&gt;59999, "Average", D355&gt;19999, "Low", D355&gt;0, "Poverty")</f>
        <v>Low</v>
      </c>
      <c r="F355" s="3">
        <v>0</v>
      </c>
      <c r="G355" t="s">
        <v>31</v>
      </c>
      <c r="H355" t="s">
        <v>20</v>
      </c>
      <c r="I355" s="3" t="s">
        <v>18</v>
      </c>
      <c r="J355" s="3">
        <v>0</v>
      </c>
      <c r="K355" t="s">
        <v>16</v>
      </c>
      <c r="L355" t="s">
        <v>17</v>
      </c>
      <c r="M355" s="3">
        <v>38</v>
      </c>
      <c r="N355" s="3" t="str" cm="1">
        <f t="array" ref="N355">_xlfn.IFS(M355&gt;59, "Pension Age", M355&gt;44, "Elderly (45+)", M355&gt;29, "Middle Age (30+)", M355&gt;22, "Adult (23+)", M355&gt;15, "Teen/Young Adult (16+)")</f>
        <v>Middle Age (30+)</v>
      </c>
      <c r="O355" s="3" t="s">
        <v>15</v>
      </c>
    </row>
    <row r="356" spans="1:15" x14ac:dyDescent="0.3">
      <c r="A356" s="4">
        <v>14785</v>
      </c>
      <c r="B356" s="3" t="s">
        <v>40</v>
      </c>
      <c r="C356" s="3" t="s">
        <v>42</v>
      </c>
      <c r="D356" s="11">
        <v>30000</v>
      </c>
      <c r="E356" s="9" t="str" cm="1">
        <f t="array" ref="E356">_xlfn.IFS(D356&gt;149000, "Very High", D356&gt;99000, "High", D356&gt;59999, "Average", D356&gt;19999, "Low", D356&gt;0, "Poverty")</f>
        <v>Low</v>
      </c>
      <c r="F356" s="3">
        <v>1</v>
      </c>
      <c r="G356" t="s">
        <v>13</v>
      </c>
      <c r="H356" t="s">
        <v>20</v>
      </c>
      <c r="I356" s="3" t="s">
        <v>18</v>
      </c>
      <c r="J356" s="3">
        <v>1</v>
      </c>
      <c r="K356" t="s">
        <v>26</v>
      </c>
      <c r="L356" t="s">
        <v>17</v>
      </c>
      <c r="M356" s="3">
        <v>39</v>
      </c>
      <c r="N356" s="3" t="str" cm="1">
        <f t="array" ref="N356">_xlfn.IFS(M356&gt;59, "Pension Age", M356&gt;44, "Elderly (45+)", M356&gt;29, "Middle Age (30+)", M356&gt;22, "Adult (23+)", M356&gt;15, "Teen/Young Adult (16+)")</f>
        <v>Middle Age (30+)</v>
      </c>
      <c r="O356" s="3" t="s">
        <v>18</v>
      </c>
    </row>
    <row r="357" spans="1:15" x14ac:dyDescent="0.3">
      <c r="A357" s="4">
        <v>17238</v>
      </c>
      <c r="B357" s="3" t="s">
        <v>40</v>
      </c>
      <c r="C357" s="3" t="s">
        <v>42</v>
      </c>
      <c r="D357" s="11">
        <v>80000</v>
      </c>
      <c r="E357" s="9" t="str" cm="1">
        <f t="array" ref="E357">_xlfn.IFS(D357&gt;149000, "Very High", D357&gt;99000, "High", D357&gt;59999, "Average", D357&gt;19999, "Low", D357&gt;0, "Poverty")</f>
        <v>Average</v>
      </c>
      <c r="F357" s="3">
        <v>0</v>
      </c>
      <c r="G357" t="s">
        <v>13</v>
      </c>
      <c r="H357" t="s">
        <v>21</v>
      </c>
      <c r="I357" s="3" t="s">
        <v>15</v>
      </c>
      <c r="J357" s="3">
        <v>3</v>
      </c>
      <c r="K357" t="s">
        <v>30</v>
      </c>
      <c r="L357" t="s">
        <v>24</v>
      </c>
      <c r="M357" s="3">
        <v>32</v>
      </c>
      <c r="N357" s="3" t="str" cm="1">
        <f t="array" ref="N357">_xlfn.IFS(M357&gt;59, "Pension Age", M357&gt;44, "Elderly (45+)", M357&gt;29, "Middle Age (30+)", M357&gt;22, "Adult (23+)", M357&gt;15, "Teen/Young Adult (16+)")</f>
        <v>Middle Age (30+)</v>
      </c>
      <c r="O357" s="3" t="s">
        <v>18</v>
      </c>
    </row>
    <row r="358" spans="1:15" x14ac:dyDescent="0.3">
      <c r="A358" s="4">
        <v>23608</v>
      </c>
      <c r="B358" s="3" t="s">
        <v>39</v>
      </c>
      <c r="C358" s="3" t="s">
        <v>41</v>
      </c>
      <c r="D358" s="11">
        <v>150000</v>
      </c>
      <c r="E358" s="9" t="str" cm="1">
        <f t="array" ref="E358">_xlfn.IFS(D358&gt;149000, "Very High", D358&gt;99000, "High", D358&gt;59999, "Average", D358&gt;19999, "Low", D358&gt;0, "Poverty")</f>
        <v>Very High</v>
      </c>
      <c r="F358" s="3">
        <v>3</v>
      </c>
      <c r="G358" t="s">
        <v>27</v>
      </c>
      <c r="H358" t="s">
        <v>21</v>
      </c>
      <c r="I358" s="3" t="s">
        <v>15</v>
      </c>
      <c r="J358" s="3">
        <v>3</v>
      </c>
      <c r="K358" t="s">
        <v>16</v>
      </c>
      <c r="L358" t="s">
        <v>17</v>
      </c>
      <c r="M358" s="3">
        <v>51</v>
      </c>
      <c r="N358" s="3" t="str" cm="1">
        <f t="array" ref="N358">_xlfn.IFS(M358&gt;59, "Pension Age", M358&gt;44, "Elderly (45+)", M358&gt;29, "Middle Age (30+)", M358&gt;22, "Adult (23+)", M358&gt;15, "Teen/Young Adult (16+)")</f>
        <v>Elderly (45+)</v>
      </c>
      <c r="O358" s="3" t="s">
        <v>15</v>
      </c>
    </row>
    <row r="359" spans="1:15" x14ac:dyDescent="0.3">
      <c r="A359" s="4">
        <v>22538</v>
      </c>
      <c r="B359" s="3" t="s">
        <v>40</v>
      </c>
      <c r="C359" s="3" t="s">
        <v>41</v>
      </c>
      <c r="D359" s="11">
        <v>10000</v>
      </c>
      <c r="E359" s="9" t="str" cm="1">
        <f t="array" ref="E359">_xlfn.IFS(D359&gt;149000, "Very High", D359&gt;99000, "High", D359&gt;59999, "Average", D359&gt;19999, "Low", D359&gt;0, "Poverty")</f>
        <v>Poverty</v>
      </c>
      <c r="F359" s="3">
        <v>0</v>
      </c>
      <c r="G359" t="s">
        <v>29</v>
      </c>
      <c r="H359" t="s">
        <v>25</v>
      </c>
      <c r="I359" s="3" t="s">
        <v>15</v>
      </c>
      <c r="J359" s="3">
        <v>2</v>
      </c>
      <c r="K359" t="s">
        <v>26</v>
      </c>
      <c r="L359" t="s">
        <v>17</v>
      </c>
      <c r="M359" s="3">
        <v>33</v>
      </c>
      <c r="N359" s="3" t="str" cm="1">
        <f t="array" ref="N359">_xlfn.IFS(M359&gt;59, "Pension Age", M359&gt;44, "Elderly (45+)", M359&gt;29, "Middle Age (30+)", M359&gt;22, "Adult (23+)", M359&gt;15, "Teen/Young Adult (16+)")</f>
        <v>Middle Age (30+)</v>
      </c>
      <c r="O359" s="3" t="s">
        <v>18</v>
      </c>
    </row>
    <row r="360" spans="1:15" x14ac:dyDescent="0.3">
      <c r="A360" s="4">
        <v>12332</v>
      </c>
      <c r="B360" s="3" t="s">
        <v>39</v>
      </c>
      <c r="C360" s="3" t="s">
        <v>42</v>
      </c>
      <c r="D360" s="11">
        <v>90000</v>
      </c>
      <c r="E360" s="9" t="str" cm="1">
        <f t="array" ref="E360">_xlfn.IFS(D360&gt;149000, "Very High", D360&gt;99000, "High", D360&gt;59999, "Average", D360&gt;19999, "Low", D360&gt;0, "Poverty")</f>
        <v>Average</v>
      </c>
      <c r="F360" s="3">
        <v>4</v>
      </c>
      <c r="G360" t="s">
        <v>27</v>
      </c>
      <c r="H360" t="s">
        <v>28</v>
      </c>
      <c r="I360" s="3" t="s">
        <v>15</v>
      </c>
      <c r="J360" s="3">
        <v>3</v>
      </c>
      <c r="K360" t="s">
        <v>23</v>
      </c>
      <c r="L360" t="s">
        <v>17</v>
      </c>
      <c r="M360" s="3">
        <v>58</v>
      </c>
      <c r="N360" s="3" t="str" cm="1">
        <f t="array" ref="N360">_xlfn.IFS(M360&gt;59, "Pension Age", M360&gt;44, "Elderly (45+)", M360&gt;29, "Middle Age (30+)", M360&gt;22, "Adult (23+)", M360&gt;15, "Teen/Young Adult (16+)")</f>
        <v>Elderly (45+)</v>
      </c>
      <c r="O360" s="3" t="s">
        <v>15</v>
      </c>
    </row>
    <row r="361" spans="1:15" x14ac:dyDescent="0.3">
      <c r="A361" s="4">
        <v>17230</v>
      </c>
      <c r="B361" s="3" t="s">
        <v>39</v>
      </c>
      <c r="C361" s="3" t="s">
        <v>42</v>
      </c>
      <c r="D361" s="11">
        <v>80000</v>
      </c>
      <c r="E361" s="9" t="str" cm="1">
        <f t="array" ref="E361">_xlfn.IFS(D361&gt;149000, "Very High", D361&gt;99000, "High", D361&gt;59999, "Average", D361&gt;19999, "Low", D361&gt;0, "Poverty")</f>
        <v>Average</v>
      </c>
      <c r="F361" s="3">
        <v>0</v>
      </c>
      <c r="G361" t="s">
        <v>13</v>
      </c>
      <c r="H361" t="s">
        <v>21</v>
      </c>
      <c r="I361" s="3" t="s">
        <v>15</v>
      </c>
      <c r="J361" s="3">
        <v>3</v>
      </c>
      <c r="K361" t="s">
        <v>30</v>
      </c>
      <c r="L361" t="s">
        <v>24</v>
      </c>
      <c r="M361" s="3">
        <v>30</v>
      </c>
      <c r="N361" s="3" t="str" cm="1">
        <f t="array" ref="N361">_xlfn.IFS(M361&gt;59, "Pension Age", M361&gt;44, "Elderly (45+)", M361&gt;29, "Middle Age (30+)", M361&gt;22, "Adult (23+)", M361&gt;15, "Teen/Young Adult (16+)")</f>
        <v>Middle Age (30+)</v>
      </c>
      <c r="O361" s="3" t="s">
        <v>18</v>
      </c>
    </row>
    <row r="362" spans="1:15" x14ac:dyDescent="0.3">
      <c r="A362" s="4">
        <v>13082</v>
      </c>
      <c r="B362" s="3" t="s">
        <v>40</v>
      </c>
      <c r="C362" s="3" t="s">
        <v>42</v>
      </c>
      <c r="D362" s="11">
        <v>130000</v>
      </c>
      <c r="E362" s="9" t="str" cm="1">
        <f t="array" ref="E362">_xlfn.IFS(D362&gt;149000, "Very High", D362&gt;99000, "High", D362&gt;59999, "Average", D362&gt;19999, "Low", D362&gt;0, "Poverty")</f>
        <v>High</v>
      </c>
      <c r="F362" s="3">
        <v>0</v>
      </c>
      <c r="G362" t="s">
        <v>31</v>
      </c>
      <c r="H362" t="s">
        <v>28</v>
      </c>
      <c r="I362" s="3" t="s">
        <v>15</v>
      </c>
      <c r="J362" s="3">
        <v>0</v>
      </c>
      <c r="K362" t="s">
        <v>22</v>
      </c>
      <c r="L362" t="s">
        <v>24</v>
      </c>
      <c r="M362" s="3">
        <v>48</v>
      </c>
      <c r="N362" s="3" t="str" cm="1">
        <f t="array" ref="N362">_xlfn.IFS(M362&gt;59, "Pension Age", M362&gt;44, "Elderly (45+)", M362&gt;29, "Middle Age (30+)", M362&gt;22, "Adult (23+)", M362&gt;15, "Teen/Young Adult (16+)")</f>
        <v>Elderly (45+)</v>
      </c>
      <c r="O362" s="3" t="s">
        <v>15</v>
      </c>
    </row>
    <row r="363" spans="1:15" x14ac:dyDescent="0.3">
      <c r="A363" s="4">
        <v>22518</v>
      </c>
      <c r="B363" s="3" t="s">
        <v>40</v>
      </c>
      <c r="C363" s="3" t="s">
        <v>41</v>
      </c>
      <c r="D363" s="11">
        <v>30000</v>
      </c>
      <c r="E363" s="9" t="str" cm="1">
        <f t="array" ref="E363">_xlfn.IFS(D363&gt;149000, "Very High", D363&gt;99000, "High", D363&gt;59999, "Average", D363&gt;19999, "Low", D363&gt;0, "Poverty")</f>
        <v>Low</v>
      </c>
      <c r="F363" s="3">
        <v>3</v>
      </c>
      <c r="G363" t="s">
        <v>19</v>
      </c>
      <c r="H363" t="s">
        <v>20</v>
      </c>
      <c r="I363" s="3" t="s">
        <v>18</v>
      </c>
      <c r="J363" s="3">
        <v>2</v>
      </c>
      <c r="K363" t="s">
        <v>16</v>
      </c>
      <c r="L363" t="s">
        <v>17</v>
      </c>
      <c r="M363" s="3">
        <v>27</v>
      </c>
      <c r="N363" s="3" t="str" cm="1">
        <f t="array" ref="N363">_xlfn.IFS(M363&gt;59, "Pension Age", M363&gt;44, "Elderly (45+)", M363&gt;29, "Middle Age (30+)", M363&gt;22, "Adult (23+)", M363&gt;15, "Teen/Young Adult (16+)")</f>
        <v>Adult (23+)</v>
      </c>
      <c r="O363" s="3" t="s">
        <v>15</v>
      </c>
    </row>
    <row r="364" spans="1:15" x14ac:dyDescent="0.3">
      <c r="A364" s="4">
        <v>13687</v>
      </c>
      <c r="B364" s="3" t="s">
        <v>39</v>
      </c>
      <c r="C364" s="3" t="s">
        <v>42</v>
      </c>
      <c r="D364" s="11">
        <v>40000</v>
      </c>
      <c r="E364" s="9" t="str" cm="1">
        <f t="array" ref="E364">_xlfn.IFS(D364&gt;149000, "Very High", D364&gt;99000, "High", D364&gt;59999, "Average", D364&gt;19999, "Low", D364&gt;0, "Poverty")</f>
        <v>Low</v>
      </c>
      <c r="F364" s="3">
        <v>1</v>
      </c>
      <c r="G364" t="s">
        <v>13</v>
      </c>
      <c r="H364" t="s">
        <v>14</v>
      </c>
      <c r="I364" s="3" t="s">
        <v>15</v>
      </c>
      <c r="J364" s="3">
        <v>1</v>
      </c>
      <c r="K364" t="s">
        <v>16</v>
      </c>
      <c r="L364" t="s">
        <v>17</v>
      </c>
      <c r="M364" s="3">
        <v>33</v>
      </c>
      <c r="N364" s="3" t="str" cm="1">
        <f t="array" ref="N364">_xlfn.IFS(M364&gt;59, "Pension Age", M364&gt;44, "Elderly (45+)", M364&gt;29, "Middle Age (30+)", M364&gt;22, "Adult (23+)", M364&gt;15, "Teen/Young Adult (16+)")</f>
        <v>Middle Age (30+)</v>
      </c>
      <c r="O364" s="3" t="s">
        <v>15</v>
      </c>
    </row>
    <row r="365" spans="1:15" x14ac:dyDescent="0.3">
      <c r="A365" s="4">
        <v>23571</v>
      </c>
      <c r="B365" s="3" t="s">
        <v>39</v>
      </c>
      <c r="C365" s="3" t="s">
        <v>41</v>
      </c>
      <c r="D365" s="11">
        <v>40000</v>
      </c>
      <c r="E365" s="9" t="str" cm="1">
        <f t="array" ref="E365">_xlfn.IFS(D365&gt;149000, "Very High", D365&gt;99000, "High", D365&gt;59999, "Average", D365&gt;19999, "Low", D365&gt;0, "Poverty")</f>
        <v>Low</v>
      </c>
      <c r="F365" s="3">
        <v>2</v>
      </c>
      <c r="G365" t="s">
        <v>13</v>
      </c>
      <c r="H365" t="s">
        <v>28</v>
      </c>
      <c r="I365" s="3" t="s">
        <v>15</v>
      </c>
      <c r="J365" s="3">
        <v>2</v>
      </c>
      <c r="K365" t="s">
        <v>16</v>
      </c>
      <c r="L365" t="s">
        <v>24</v>
      </c>
      <c r="M365" s="3">
        <v>66</v>
      </c>
      <c r="N365" s="3" t="str" cm="1">
        <f t="array" ref="N365">_xlfn.IFS(M365&gt;59, "Pension Age", M365&gt;44, "Elderly (45+)", M365&gt;29, "Middle Age (30+)", M365&gt;22, "Adult (23+)", M365&gt;15, "Teen/Young Adult (16+)")</f>
        <v>Pension Age</v>
      </c>
      <c r="O365" s="3" t="s">
        <v>15</v>
      </c>
    </row>
    <row r="366" spans="1:15" x14ac:dyDescent="0.3">
      <c r="A366" s="4">
        <v>19305</v>
      </c>
      <c r="B366" s="3" t="s">
        <v>40</v>
      </c>
      <c r="C366" s="3" t="s">
        <v>41</v>
      </c>
      <c r="D366" s="11">
        <v>10000</v>
      </c>
      <c r="E366" s="9" t="str" cm="1">
        <f t="array" ref="E366">_xlfn.IFS(D366&gt;149000, "Very High", D366&gt;99000, "High", D366&gt;59999, "Average", D366&gt;19999, "Low", D366&gt;0, "Poverty")</f>
        <v>Poverty</v>
      </c>
      <c r="F366" s="3">
        <v>2</v>
      </c>
      <c r="G366" t="s">
        <v>27</v>
      </c>
      <c r="H366" t="s">
        <v>25</v>
      </c>
      <c r="I366" s="3" t="s">
        <v>15</v>
      </c>
      <c r="J366" s="3">
        <v>1</v>
      </c>
      <c r="K366" t="s">
        <v>16</v>
      </c>
      <c r="L366" t="s">
        <v>17</v>
      </c>
      <c r="M366" s="3">
        <v>38</v>
      </c>
      <c r="N366" s="3" t="str" cm="1">
        <f t="array" ref="N366">_xlfn.IFS(M366&gt;59, "Pension Age", M366&gt;44, "Elderly (45+)", M366&gt;29, "Middle Age (30+)", M366&gt;22, "Adult (23+)", M366&gt;15, "Teen/Young Adult (16+)")</f>
        <v>Middle Age (30+)</v>
      </c>
      <c r="O366" s="3" t="s">
        <v>15</v>
      </c>
    </row>
    <row r="367" spans="1:15" x14ac:dyDescent="0.3">
      <c r="A367" s="4">
        <v>22636</v>
      </c>
      <c r="B367" s="3" t="s">
        <v>40</v>
      </c>
      <c r="C367" s="3" t="s">
        <v>41</v>
      </c>
      <c r="D367" s="11">
        <v>40000</v>
      </c>
      <c r="E367" s="9" t="str" cm="1">
        <f t="array" ref="E367">_xlfn.IFS(D367&gt;149000, "Very High", D367&gt;99000, "High", D367&gt;59999, "Average", D367&gt;19999, "Low", D367&gt;0, "Poverty")</f>
        <v>Low</v>
      </c>
      <c r="F367" s="3">
        <v>0</v>
      </c>
      <c r="G367" t="s">
        <v>13</v>
      </c>
      <c r="H367" t="s">
        <v>20</v>
      </c>
      <c r="I367" s="3" t="s">
        <v>18</v>
      </c>
      <c r="J367" s="3">
        <v>0</v>
      </c>
      <c r="K367" t="s">
        <v>16</v>
      </c>
      <c r="L367" t="s">
        <v>17</v>
      </c>
      <c r="M367" s="3">
        <v>38</v>
      </c>
      <c r="N367" s="3" t="str" cm="1">
        <f t="array" ref="N367">_xlfn.IFS(M367&gt;59, "Pension Age", M367&gt;44, "Elderly (45+)", M367&gt;29, "Middle Age (30+)", M367&gt;22, "Adult (23+)", M367&gt;15, "Teen/Young Adult (16+)")</f>
        <v>Middle Age (30+)</v>
      </c>
      <c r="O367" s="3" t="s">
        <v>15</v>
      </c>
    </row>
    <row r="368" spans="1:15" x14ac:dyDescent="0.3">
      <c r="A368" s="4">
        <v>17310</v>
      </c>
      <c r="B368" s="3" t="s">
        <v>39</v>
      </c>
      <c r="C368" s="3" t="s">
        <v>42</v>
      </c>
      <c r="D368" s="11">
        <v>60000</v>
      </c>
      <c r="E368" s="9" t="str" cm="1">
        <f t="array" ref="E368">_xlfn.IFS(D368&gt;149000, "Very High", D368&gt;99000, "High", D368&gt;59999, "Average", D368&gt;19999, "Low", D368&gt;0, "Poverty")</f>
        <v>Average</v>
      </c>
      <c r="F368" s="3">
        <v>1</v>
      </c>
      <c r="G368" t="s">
        <v>19</v>
      </c>
      <c r="H368" t="s">
        <v>14</v>
      </c>
      <c r="I368" s="3" t="s">
        <v>15</v>
      </c>
      <c r="J368" s="3">
        <v>1</v>
      </c>
      <c r="K368" t="s">
        <v>16</v>
      </c>
      <c r="L368" t="s">
        <v>24</v>
      </c>
      <c r="M368" s="3">
        <v>45</v>
      </c>
      <c r="N368" s="3" t="str" cm="1">
        <f t="array" ref="N368">_xlfn.IFS(M368&gt;59, "Pension Age", M368&gt;44, "Elderly (45+)", M368&gt;29, "Middle Age (30+)", M368&gt;22, "Adult (23+)", M368&gt;15, "Teen/Young Adult (16+)")</f>
        <v>Elderly (45+)</v>
      </c>
      <c r="O368" s="3" t="s">
        <v>15</v>
      </c>
    </row>
    <row r="369" spans="1:15" x14ac:dyDescent="0.3">
      <c r="A369" s="4">
        <v>12133</v>
      </c>
      <c r="B369" s="3" t="s">
        <v>39</v>
      </c>
      <c r="C369" s="3" t="s">
        <v>41</v>
      </c>
      <c r="D369" s="11">
        <v>130000</v>
      </c>
      <c r="E369" s="9" t="str" cm="1">
        <f t="array" ref="E369">_xlfn.IFS(D369&gt;149000, "Very High", D369&gt;99000, "High", D369&gt;59999, "Average", D369&gt;19999, "Low", D369&gt;0, "Poverty")</f>
        <v>High</v>
      </c>
      <c r="F369" s="3">
        <v>3</v>
      </c>
      <c r="G369" t="s">
        <v>19</v>
      </c>
      <c r="H369" t="s">
        <v>21</v>
      </c>
      <c r="I369" s="3" t="s">
        <v>15</v>
      </c>
      <c r="J369" s="3">
        <v>3</v>
      </c>
      <c r="K369" t="s">
        <v>23</v>
      </c>
      <c r="L369" t="s">
        <v>17</v>
      </c>
      <c r="M369" s="3">
        <v>50</v>
      </c>
      <c r="N369" s="3" t="str" cm="1">
        <f t="array" ref="N369">_xlfn.IFS(M369&gt;59, "Pension Age", M369&gt;44, "Elderly (45+)", M369&gt;29, "Middle Age (30+)", M369&gt;22, "Adult (23+)", M369&gt;15, "Teen/Young Adult (16+)")</f>
        <v>Elderly (45+)</v>
      </c>
      <c r="O369" s="3" t="s">
        <v>15</v>
      </c>
    </row>
    <row r="370" spans="1:15" x14ac:dyDescent="0.3">
      <c r="A370" s="4">
        <v>25918</v>
      </c>
      <c r="B370" s="3" t="s">
        <v>40</v>
      </c>
      <c r="C370" s="3" t="s">
        <v>41</v>
      </c>
      <c r="D370" s="11">
        <v>30000</v>
      </c>
      <c r="E370" s="9" t="str" cm="1">
        <f t="array" ref="E370">_xlfn.IFS(D370&gt;149000, "Very High", D370&gt;99000, "High", D370&gt;59999, "Average", D370&gt;19999, "Low", D370&gt;0, "Poverty")</f>
        <v>Low</v>
      </c>
      <c r="F370" s="3">
        <v>2</v>
      </c>
      <c r="G370" t="s">
        <v>19</v>
      </c>
      <c r="H370" t="s">
        <v>20</v>
      </c>
      <c r="I370" s="3" t="s">
        <v>18</v>
      </c>
      <c r="J370" s="3">
        <v>2</v>
      </c>
      <c r="K370" t="s">
        <v>23</v>
      </c>
      <c r="L370" t="s">
        <v>24</v>
      </c>
      <c r="M370" s="3">
        <v>60</v>
      </c>
      <c r="N370" s="3" t="str" cm="1">
        <f t="array" ref="N370">_xlfn.IFS(M370&gt;59, "Pension Age", M370&gt;44, "Elderly (45+)", M370&gt;29, "Middle Age (30+)", M370&gt;22, "Adult (23+)", M370&gt;15, "Teen/Young Adult (16+)")</f>
        <v>Pension Age</v>
      </c>
      <c r="O370" s="3" t="s">
        <v>15</v>
      </c>
    </row>
    <row r="371" spans="1:15" x14ac:dyDescent="0.3">
      <c r="A371" s="4">
        <v>25752</v>
      </c>
      <c r="B371" s="3" t="s">
        <v>40</v>
      </c>
      <c r="C371" s="3" t="s">
        <v>41</v>
      </c>
      <c r="D371" s="11">
        <v>20000</v>
      </c>
      <c r="E371" s="9" t="str" cm="1">
        <f t="array" ref="E371">_xlfn.IFS(D371&gt;149000, "Very High", D371&gt;99000, "High", D371&gt;59999, "Average", D371&gt;19999, "Low", D371&gt;0, "Poverty")</f>
        <v>Low</v>
      </c>
      <c r="F371" s="3">
        <v>2</v>
      </c>
      <c r="G371" t="s">
        <v>19</v>
      </c>
      <c r="H371" t="s">
        <v>25</v>
      </c>
      <c r="I371" s="3" t="s">
        <v>18</v>
      </c>
      <c r="J371" s="3">
        <v>1</v>
      </c>
      <c r="K371" t="s">
        <v>16</v>
      </c>
      <c r="L371" t="s">
        <v>17</v>
      </c>
      <c r="M371" s="3">
        <v>53</v>
      </c>
      <c r="N371" s="3" t="str" cm="1">
        <f t="array" ref="N371">_xlfn.IFS(M371&gt;59, "Pension Age", M371&gt;44, "Elderly (45+)", M371&gt;29, "Middle Age (30+)", M371&gt;22, "Adult (23+)", M371&gt;15, "Teen/Young Adult (16+)")</f>
        <v>Elderly (45+)</v>
      </c>
      <c r="O371" s="3" t="s">
        <v>15</v>
      </c>
    </row>
    <row r="372" spans="1:15" x14ac:dyDescent="0.3">
      <c r="A372" s="4">
        <v>17324</v>
      </c>
      <c r="B372" s="3" t="s">
        <v>39</v>
      </c>
      <c r="C372" s="3" t="s">
        <v>41</v>
      </c>
      <c r="D372" s="11">
        <v>100000</v>
      </c>
      <c r="E372" s="9" t="str" cm="1">
        <f t="array" ref="E372">_xlfn.IFS(D372&gt;149000, "Very High", D372&gt;99000, "High", D372&gt;59999, "Average", D372&gt;19999, "Low", D372&gt;0, "Poverty")</f>
        <v>High</v>
      </c>
      <c r="F372" s="3">
        <v>4</v>
      </c>
      <c r="G372" t="s">
        <v>13</v>
      </c>
      <c r="H372" t="s">
        <v>21</v>
      </c>
      <c r="I372" s="3" t="s">
        <v>15</v>
      </c>
      <c r="J372" s="3">
        <v>1</v>
      </c>
      <c r="K372" t="s">
        <v>30</v>
      </c>
      <c r="L372" t="s">
        <v>24</v>
      </c>
      <c r="M372" s="3">
        <v>46</v>
      </c>
      <c r="N372" s="3" t="str" cm="1">
        <f t="array" ref="N372">_xlfn.IFS(M372&gt;59, "Pension Age", M372&gt;44, "Elderly (45+)", M372&gt;29, "Middle Age (30+)", M372&gt;22, "Adult (23+)", M372&gt;15, "Teen/Young Adult (16+)")</f>
        <v>Elderly (45+)</v>
      </c>
      <c r="O372" s="3" t="s">
        <v>18</v>
      </c>
    </row>
    <row r="373" spans="1:15" x14ac:dyDescent="0.3">
      <c r="A373" s="4">
        <v>22918</v>
      </c>
      <c r="B373" s="3" t="s">
        <v>40</v>
      </c>
      <c r="C373" s="3" t="s">
        <v>42</v>
      </c>
      <c r="D373" s="11">
        <v>80000</v>
      </c>
      <c r="E373" s="9" t="str" cm="1">
        <f t="array" ref="E373">_xlfn.IFS(D373&gt;149000, "Very High", D373&gt;99000, "High", D373&gt;59999, "Average", D373&gt;19999, "Low", D373&gt;0, "Poverty")</f>
        <v>Average</v>
      </c>
      <c r="F373" s="3">
        <v>5</v>
      </c>
      <c r="G373" t="s">
        <v>31</v>
      </c>
      <c r="H373" t="s">
        <v>28</v>
      </c>
      <c r="I373" s="3" t="s">
        <v>15</v>
      </c>
      <c r="J373" s="3">
        <v>3</v>
      </c>
      <c r="K373" t="s">
        <v>16</v>
      </c>
      <c r="L373" t="s">
        <v>24</v>
      </c>
      <c r="M373" s="3">
        <v>50</v>
      </c>
      <c r="N373" s="3" t="str" cm="1">
        <f t="array" ref="N373">_xlfn.IFS(M373&gt;59, "Pension Age", M373&gt;44, "Elderly (45+)", M373&gt;29, "Middle Age (30+)", M373&gt;22, "Adult (23+)", M373&gt;15, "Teen/Young Adult (16+)")</f>
        <v>Elderly (45+)</v>
      </c>
      <c r="O373" s="3" t="s">
        <v>18</v>
      </c>
    </row>
    <row r="374" spans="1:15" x14ac:dyDescent="0.3">
      <c r="A374" s="4">
        <v>12510</v>
      </c>
      <c r="B374" s="3" t="s">
        <v>39</v>
      </c>
      <c r="C374" s="3" t="s">
        <v>42</v>
      </c>
      <c r="D374" s="11">
        <v>40000</v>
      </c>
      <c r="E374" s="9" t="str" cm="1">
        <f t="array" ref="E374">_xlfn.IFS(D374&gt;149000, "Very High", D374&gt;99000, "High", D374&gt;59999, "Average", D374&gt;19999, "Low", D374&gt;0, "Poverty")</f>
        <v>Low</v>
      </c>
      <c r="F374" s="3">
        <v>1</v>
      </c>
      <c r="G374" t="s">
        <v>13</v>
      </c>
      <c r="H374" t="s">
        <v>14</v>
      </c>
      <c r="I374" s="3" t="s">
        <v>15</v>
      </c>
      <c r="J374" s="3">
        <v>1</v>
      </c>
      <c r="K374" t="s">
        <v>16</v>
      </c>
      <c r="L374" t="s">
        <v>17</v>
      </c>
      <c r="M374" s="3">
        <v>43</v>
      </c>
      <c r="N374" s="3" t="str" cm="1">
        <f t="array" ref="N374">_xlfn.IFS(M374&gt;59, "Pension Age", M374&gt;44, "Elderly (45+)", M374&gt;29, "Middle Age (30+)", M374&gt;22, "Adult (23+)", M374&gt;15, "Teen/Young Adult (16+)")</f>
        <v>Middle Age (30+)</v>
      </c>
      <c r="O374" s="3" t="s">
        <v>15</v>
      </c>
    </row>
    <row r="375" spans="1:15" x14ac:dyDescent="0.3">
      <c r="A375" s="4">
        <v>25512</v>
      </c>
      <c r="B375" s="3" t="s">
        <v>40</v>
      </c>
      <c r="C375" s="3" t="s">
        <v>42</v>
      </c>
      <c r="D375" s="11">
        <v>20000</v>
      </c>
      <c r="E375" s="9" t="str" cm="1">
        <f t="array" ref="E375">_xlfn.IFS(D375&gt;149000, "Very High", D375&gt;99000, "High", D375&gt;59999, "Average", D375&gt;19999, "Low", D375&gt;0, "Poverty")</f>
        <v>Low</v>
      </c>
      <c r="F375" s="3">
        <v>0</v>
      </c>
      <c r="G375" t="s">
        <v>27</v>
      </c>
      <c r="H375" t="s">
        <v>25</v>
      </c>
      <c r="I375" s="3" t="s">
        <v>18</v>
      </c>
      <c r="J375" s="3">
        <v>1</v>
      </c>
      <c r="K375" t="s">
        <v>22</v>
      </c>
      <c r="L375" t="s">
        <v>17</v>
      </c>
      <c r="M375" s="3">
        <v>30</v>
      </c>
      <c r="N375" s="3" t="str" cm="1">
        <f t="array" ref="N375">_xlfn.IFS(M375&gt;59, "Pension Age", M375&gt;44, "Elderly (45+)", M375&gt;29, "Middle Age (30+)", M375&gt;22, "Adult (23+)", M375&gt;15, "Teen/Young Adult (16+)")</f>
        <v>Middle Age (30+)</v>
      </c>
      <c r="O375" s="3" t="s">
        <v>18</v>
      </c>
    </row>
    <row r="376" spans="1:15" x14ac:dyDescent="0.3">
      <c r="A376" s="4">
        <v>16179</v>
      </c>
      <c r="B376" s="3" t="s">
        <v>40</v>
      </c>
      <c r="C376" s="3" t="s">
        <v>41</v>
      </c>
      <c r="D376" s="11">
        <v>80000</v>
      </c>
      <c r="E376" s="9" t="str" cm="1">
        <f t="array" ref="E376">_xlfn.IFS(D376&gt;149000, "Very High", D376&gt;99000, "High", D376&gt;59999, "Average", D376&gt;19999, "Low", D376&gt;0, "Poverty")</f>
        <v>Average</v>
      </c>
      <c r="F376" s="3">
        <v>5</v>
      </c>
      <c r="G376" t="s">
        <v>13</v>
      </c>
      <c r="H376" t="s">
        <v>21</v>
      </c>
      <c r="I376" s="3" t="s">
        <v>15</v>
      </c>
      <c r="J376" s="3">
        <v>4</v>
      </c>
      <c r="K376" t="s">
        <v>26</v>
      </c>
      <c r="L376" t="s">
        <v>24</v>
      </c>
      <c r="M376" s="3">
        <v>38</v>
      </c>
      <c r="N376" s="3" t="str" cm="1">
        <f t="array" ref="N376">_xlfn.IFS(M376&gt;59, "Pension Age", M376&gt;44, "Elderly (45+)", M376&gt;29, "Middle Age (30+)", M376&gt;22, "Adult (23+)", M376&gt;15, "Teen/Young Adult (16+)")</f>
        <v>Middle Age (30+)</v>
      </c>
      <c r="O376" s="3" t="s">
        <v>18</v>
      </c>
    </row>
    <row r="377" spans="1:15" x14ac:dyDescent="0.3">
      <c r="A377" s="4">
        <v>15628</v>
      </c>
      <c r="B377" s="3" t="s">
        <v>39</v>
      </c>
      <c r="C377" s="3" t="s">
        <v>41</v>
      </c>
      <c r="D377" s="11">
        <v>40000</v>
      </c>
      <c r="E377" s="9" t="str" cm="1">
        <f t="array" ref="E377">_xlfn.IFS(D377&gt;149000, "Very High", D377&gt;99000, "High", D377&gt;59999, "Average", D377&gt;19999, "Low", D377&gt;0, "Poverty")</f>
        <v>Low</v>
      </c>
      <c r="F377" s="3">
        <v>1</v>
      </c>
      <c r="G377" t="s">
        <v>13</v>
      </c>
      <c r="H377" t="s">
        <v>14</v>
      </c>
      <c r="I377" s="3" t="s">
        <v>15</v>
      </c>
      <c r="J377" s="3">
        <v>1</v>
      </c>
      <c r="K377" t="s">
        <v>16</v>
      </c>
      <c r="L377" t="s">
        <v>17</v>
      </c>
      <c r="M377" s="3">
        <v>89</v>
      </c>
      <c r="N377" s="3" t="str" cm="1">
        <f t="array" ref="N377">_xlfn.IFS(M377&gt;59, "Pension Age", M377&gt;44, "Elderly (45+)", M377&gt;29, "Middle Age (30+)", M377&gt;22, "Adult (23+)", M377&gt;15, "Teen/Young Adult (16+)")</f>
        <v>Pension Age</v>
      </c>
      <c r="O377" s="3" t="s">
        <v>18</v>
      </c>
    </row>
    <row r="378" spans="1:15" x14ac:dyDescent="0.3">
      <c r="A378" s="4">
        <v>20977</v>
      </c>
      <c r="B378" s="3" t="s">
        <v>39</v>
      </c>
      <c r="C378" s="3" t="s">
        <v>42</v>
      </c>
      <c r="D378" s="11">
        <v>20000</v>
      </c>
      <c r="E378" s="9" t="str" cm="1">
        <f t="array" ref="E378">_xlfn.IFS(D378&gt;149000, "Very High", D378&gt;99000, "High", D378&gt;59999, "Average", D378&gt;19999, "Low", D378&gt;0, "Poverty")</f>
        <v>Low</v>
      </c>
      <c r="F378" s="3">
        <v>1</v>
      </c>
      <c r="G378" t="s">
        <v>13</v>
      </c>
      <c r="H378" t="s">
        <v>20</v>
      </c>
      <c r="I378" s="3" t="s">
        <v>15</v>
      </c>
      <c r="J378" s="3">
        <v>0</v>
      </c>
      <c r="K378" t="s">
        <v>16</v>
      </c>
      <c r="L378" t="s">
        <v>17</v>
      </c>
      <c r="M378" s="3">
        <v>64</v>
      </c>
      <c r="N378" s="3" t="str" cm="1">
        <f t="array" ref="N378">_xlfn.IFS(M378&gt;59, "Pension Age", M378&gt;44, "Elderly (45+)", M378&gt;29, "Middle Age (30+)", M378&gt;22, "Adult (23+)", M378&gt;15, "Teen/Young Adult (16+)")</f>
        <v>Pension Age</v>
      </c>
      <c r="O378" s="3" t="s">
        <v>15</v>
      </c>
    </row>
    <row r="379" spans="1:15" x14ac:dyDescent="0.3">
      <c r="A379" s="4">
        <v>18140</v>
      </c>
      <c r="B379" s="3" t="s">
        <v>39</v>
      </c>
      <c r="C379" s="3" t="s">
        <v>42</v>
      </c>
      <c r="D379" s="11">
        <v>130000</v>
      </c>
      <c r="E379" s="9" t="str" cm="1">
        <f t="array" ref="E379">_xlfn.IFS(D379&gt;149000, "Very High", D379&gt;99000, "High", D379&gt;59999, "Average", D379&gt;19999, "Low", D379&gt;0, "Poverty")</f>
        <v>High</v>
      </c>
      <c r="F379" s="3">
        <v>3</v>
      </c>
      <c r="G379" t="s">
        <v>19</v>
      </c>
      <c r="H379" t="s">
        <v>21</v>
      </c>
      <c r="I379" s="3" t="s">
        <v>18</v>
      </c>
      <c r="J379" s="3">
        <v>3</v>
      </c>
      <c r="K379" t="s">
        <v>23</v>
      </c>
      <c r="L379" t="s">
        <v>17</v>
      </c>
      <c r="M379" s="3">
        <v>51</v>
      </c>
      <c r="N379" s="3" t="str" cm="1">
        <f t="array" ref="N379">_xlfn.IFS(M379&gt;59, "Pension Age", M379&gt;44, "Elderly (45+)", M379&gt;29, "Middle Age (30+)", M379&gt;22, "Adult (23+)", M379&gt;15, "Teen/Young Adult (16+)")</f>
        <v>Elderly (45+)</v>
      </c>
      <c r="O379" s="3" t="s">
        <v>15</v>
      </c>
    </row>
    <row r="380" spans="1:15" x14ac:dyDescent="0.3">
      <c r="A380" s="4">
        <v>20417</v>
      </c>
      <c r="B380" s="3" t="s">
        <v>39</v>
      </c>
      <c r="C380" s="3" t="s">
        <v>42</v>
      </c>
      <c r="D380" s="11">
        <v>30000</v>
      </c>
      <c r="E380" s="9" t="str" cm="1">
        <f t="array" ref="E380">_xlfn.IFS(D380&gt;149000, "Very High", D380&gt;99000, "High", D380&gt;59999, "Average", D380&gt;19999, "Low", D380&gt;0, "Poverty")</f>
        <v>Low</v>
      </c>
      <c r="F380" s="3">
        <v>3</v>
      </c>
      <c r="G380" t="s">
        <v>19</v>
      </c>
      <c r="H380" t="s">
        <v>20</v>
      </c>
      <c r="I380" s="3" t="s">
        <v>18</v>
      </c>
      <c r="J380" s="3">
        <v>2</v>
      </c>
      <c r="K380" t="s">
        <v>23</v>
      </c>
      <c r="L380" t="s">
        <v>24</v>
      </c>
      <c r="M380" s="3">
        <v>56</v>
      </c>
      <c r="N380" s="3" t="str" cm="1">
        <f t="array" ref="N380">_xlfn.IFS(M380&gt;59, "Pension Age", M380&gt;44, "Elderly (45+)", M380&gt;29, "Middle Age (30+)", M380&gt;22, "Adult (23+)", M380&gt;15, "Teen/Young Adult (16+)")</f>
        <v>Elderly (45+)</v>
      </c>
      <c r="O380" s="3" t="s">
        <v>18</v>
      </c>
    </row>
    <row r="381" spans="1:15" x14ac:dyDescent="0.3">
      <c r="A381" s="4">
        <v>18267</v>
      </c>
      <c r="B381" s="3" t="s">
        <v>39</v>
      </c>
      <c r="C381" s="3" t="s">
        <v>42</v>
      </c>
      <c r="D381" s="11">
        <v>60000</v>
      </c>
      <c r="E381" s="9" t="str" cm="1">
        <f t="array" ref="E381">_xlfn.IFS(D381&gt;149000, "Very High", D381&gt;99000, "High", D381&gt;59999, "Average", D381&gt;19999, "Low", D381&gt;0, "Poverty")</f>
        <v>Average</v>
      </c>
      <c r="F381" s="3">
        <v>3</v>
      </c>
      <c r="G381" t="s">
        <v>13</v>
      </c>
      <c r="H381" t="s">
        <v>21</v>
      </c>
      <c r="I381" s="3" t="s">
        <v>15</v>
      </c>
      <c r="J381" s="3">
        <v>2</v>
      </c>
      <c r="K381" t="s">
        <v>23</v>
      </c>
      <c r="L381" t="s">
        <v>24</v>
      </c>
      <c r="M381" s="3">
        <v>43</v>
      </c>
      <c r="N381" s="3" t="str" cm="1">
        <f t="array" ref="N381">_xlfn.IFS(M381&gt;59, "Pension Age", M381&gt;44, "Elderly (45+)", M381&gt;29, "Middle Age (30+)", M381&gt;22, "Adult (23+)", M381&gt;15, "Teen/Young Adult (16+)")</f>
        <v>Middle Age (30+)</v>
      </c>
      <c r="O381" s="3" t="s">
        <v>18</v>
      </c>
    </row>
    <row r="382" spans="1:15" x14ac:dyDescent="0.3">
      <c r="A382" s="4">
        <v>13620</v>
      </c>
      <c r="B382" s="3" t="s">
        <v>40</v>
      </c>
      <c r="C382" s="3" t="s">
        <v>42</v>
      </c>
      <c r="D382" s="11">
        <v>70000</v>
      </c>
      <c r="E382" s="9" t="str" cm="1">
        <f t="array" ref="E382">_xlfn.IFS(D382&gt;149000, "Very High", D382&gt;99000, "High", D382&gt;59999, "Average", D382&gt;19999, "Low", D382&gt;0, "Poverty")</f>
        <v>Average</v>
      </c>
      <c r="F382" s="3">
        <v>0</v>
      </c>
      <c r="G382" t="s">
        <v>13</v>
      </c>
      <c r="H382" t="s">
        <v>21</v>
      </c>
      <c r="I382" s="3" t="s">
        <v>18</v>
      </c>
      <c r="J382" s="3">
        <v>3</v>
      </c>
      <c r="K382" t="s">
        <v>30</v>
      </c>
      <c r="L382" t="s">
        <v>24</v>
      </c>
      <c r="M382" s="3">
        <v>30</v>
      </c>
      <c r="N382" s="3" t="str" cm="1">
        <f t="array" ref="N382">_xlfn.IFS(M382&gt;59, "Pension Age", M382&gt;44, "Elderly (45+)", M382&gt;29, "Middle Age (30+)", M382&gt;22, "Adult (23+)", M382&gt;15, "Teen/Young Adult (16+)")</f>
        <v>Middle Age (30+)</v>
      </c>
      <c r="O382" s="3" t="s">
        <v>15</v>
      </c>
    </row>
    <row r="383" spans="1:15" x14ac:dyDescent="0.3">
      <c r="A383" s="4">
        <v>22974</v>
      </c>
      <c r="B383" s="3" t="s">
        <v>39</v>
      </c>
      <c r="C383" s="3" t="s">
        <v>41</v>
      </c>
      <c r="D383" s="11">
        <v>30000</v>
      </c>
      <c r="E383" s="9" t="str" cm="1">
        <f t="array" ref="E383">_xlfn.IFS(D383&gt;149000, "Very High", D383&gt;99000, "High", D383&gt;59999, "Average", D383&gt;19999, "Low", D383&gt;0, "Poverty")</f>
        <v>Low</v>
      </c>
      <c r="F383" s="3">
        <v>2</v>
      </c>
      <c r="G383" t="s">
        <v>19</v>
      </c>
      <c r="H383" t="s">
        <v>20</v>
      </c>
      <c r="I383" s="3" t="s">
        <v>15</v>
      </c>
      <c r="J383" s="3">
        <v>2</v>
      </c>
      <c r="K383" t="s">
        <v>23</v>
      </c>
      <c r="L383" t="s">
        <v>24</v>
      </c>
      <c r="M383" s="3">
        <v>69</v>
      </c>
      <c r="N383" s="3" t="str" cm="1">
        <f t="array" ref="N383">_xlfn.IFS(M383&gt;59, "Pension Age", M383&gt;44, "Elderly (45+)", M383&gt;29, "Middle Age (30+)", M383&gt;22, "Adult (23+)", M383&gt;15, "Teen/Young Adult (16+)")</f>
        <v>Pension Age</v>
      </c>
      <c r="O383" s="3" t="s">
        <v>18</v>
      </c>
    </row>
    <row r="384" spans="1:15" x14ac:dyDescent="0.3">
      <c r="A384" s="4">
        <v>13586</v>
      </c>
      <c r="B384" s="3" t="s">
        <v>39</v>
      </c>
      <c r="C384" s="3" t="s">
        <v>42</v>
      </c>
      <c r="D384" s="11">
        <v>80000</v>
      </c>
      <c r="E384" s="9" t="str" cm="1">
        <f t="array" ref="E384">_xlfn.IFS(D384&gt;149000, "Very High", D384&gt;99000, "High", D384&gt;59999, "Average", D384&gt;19999, "Low", D384&gt;0, "Poverty")</f>
        <v>Average</v>
      </c>
      <c r="F384" s="3">
        <v>4</v>
      </c>
      <c r="G384" t="s">
        <v>19</v>
      </c>
      <c r="H384" t="s">
        <v>21</v>
      </c>
      <c r="I384" s="3" t="s">
        <v>15</v>
      </c>
      <c r="J384" s="3">
        <v>2</v>
      </c>
      <c r="K384" t="s">
        <v>30</v>
      </c>
      <c r="L384" t="s">
        <v>17</v>
      </c>
      <c r="M384" s="3">
        <v>53</v>
      </c>
      <c r="N384" s="3" t="str" cm="1">
        <f t="array" ref="N384">_xlfn.IFS(M384&gt;59, "Pension Age", M384&gt;44, "Elderly (45+)", M384&gt;29, "Middle Age (30+)", M384&gt;22, "Adult (23+)", M384&gt;15, "Teen/Young Adult (16+)")</f>
        <v>Elderly (45+)</v>
      </c>
      <c r="O384" s="3" t="s">
        <v>18</v>
      </c>
    </row>
    <row r="385" spans="1:15" x14ac:dyDescent="0.3">
      <c r="A385" s="4">
        <v>17978</v>
      </c>
      <c r="B385" s="3" t="s">
        <v>39</v>
      </c>
      <c r="C385" s="3" t="s">
        <v>42</v>
      </c>
      <c r="D385" s="11">
        <v>40000</v>
      </c>
      <c r="E385" s="9" t="str" cm="1">
        <f t="array" ref="E385">_xlfn.IFS(D385&gt;149000, "Very High", D385&gt;99000, "High", D385&gt;59999, "Average", D385&gt;19999, "Low", D385&gt;0, "Poverty")</f>
        <v>Low</v>
      </c>
      <c r="F385" s="3">
        <v>0</v>
      </c>
      <c r="G385" t="s">
        <v>31</v>
      </c>
      <c r="H385" t="s">
        <v>20</v>
      </c>
      <c r="I385" s="3" t="s">
        <v>15</v>
      </c>
      <c r="J385" s="3">
        <v>0</v>
      </c>
      <c r="K385" t="s">
        <v>16</v>
      </c>
      <c r="L385" t="s">
        <v>17</v>
      </c>
      <c r="M385" s="3">
        <v>37</v>
      </c>
      <c r="N385" s="3" t="str" cm="1">
        <f t="array" ref="N385">_xlfn.IFS(M385&gt;59, "Pension Age", M385&gt;44, "Elderly (45+)", M385&gt;29, "Middle Age (30+)", M385&gt;22, "Adult (23+)", M385&gt;15, "Teen/Young Adult (16+)")</f>
        <v>Middle Age (30+)</v>
      </c>
      <c r="O385" s="3" t="s">
        <v>15</v>
      </c>
    </row>
    <row r="386" spans="1:15" x14ac:dyDescent="0.3">
      <c r="A386" s="4">
        <v>12581</v>
      </c>
      <c r="B386" s="3" t="s">
        <v>40</v>
      </c>
      <c r="C386" s="3" t="s">
        <v>41</v>
      </c>
      <c r="D386" s="11">
        <v>10000</v>
      </c>
      <c r="E386" s="9" t="str" cm="1">
        <f t="array" ref="E386">_xlfn.IFS(D386&gt;149000, "Very High", D386&gt;99000, "High", D386&gt;59999, "Average", D386&gt;19999, "Low", D386&gt;0, "Poverty")</f>
        <v>Poverty</v>
      </c>
      <c r="F386" s="3">
        <v>0</v>
      </c>
      <c r="G386" t="s">
        <v>19</v>
      </c>
      <c r="H386" t="s">
        <v>25</v>
      </c>
      <c r="I386" s="3" t="s">
        <v>18</v>
      </c>
      <c r="J386" s="3">
        <v>1</v>
      </c>
      <c r="K386" t="s">
        <v>16</v>
      </c>
      <c r="L386" t="s">
        <v>24</v>
      </c>
      <c r="M386" s="3">
        <v>28</v>
      </c>
      <c r="N386" s="3" t="str" cm="1">
        <f t="array" ref="N386">_xlfn.IFS(M386&gt;59, "Pension Age", M386&gt;44, "Elderly (45+)", M386&gt;29, "Middle Age (30+)", M386&gt;22, "Adult (23+)", M386&gt;15, "Teen/Young Adult (16+)")</f>
        <v>Adult (23+)</v>
      </c>
      <c r="O386" s="3" t="s">
        <v>15</v>
      </c>
    </row>
    <row r="387" spans="1:15" x14ac:dyDescent="0.3">
      <c r="A387" s="4">
        <v>18018</v>
      </c>
      <c r="B387" s="3" t="s">
        <v>40</v>
      </c>
      <c r="C387" s="3" t="s">
        <v>42</v>
      </c>
      <c r="D387" s="11">
        <v>30000</v>
      </c>
      <c r="E387" s="9" t="str" cm="1">
        <f t="array" ref="E387">_xlfn.IFS(D387&gt;149000, "Very High", D387&gt;99000, "High", D387&gt;59999, "Average", D387&gt;19999, "Low", D387&gt;0, "Poverty")</f>
        <v>Low</v>
      </c>
      <c r="F387" s="3">
        <v>3</v>
      </c>
      <c r="G387" t="s">
        <v>19</v>
      </c>
      <c r="H387" t="s">
        <v>20</v>
      </c>
      <c r="I387" s="3" t="s">
        <v>15</v>
      </c>
      <c r="J387" s="3">
        <v>0</v>
      </c>
      <c r="K387" t="s">
        <v>16</v>
      </c>
      <c r="L387" t="s">
        <v>17</v>
      </c>
      <c r="M387" s="3">
        <v>43</v>
      </c>
      <c r="N387" s="3" t="str" cm="1">
        <f t="array" ref="N387">_xlfn.IFS(M387&gt;59, "Pension Age", M387&gt;44, "Elderly (45+)", M387&gt;29, "Middle Age (30+)", M387&gt;22, "Adult (23+)", M387&gt;15, "Teen/Young Adult (16+)")</f>
        <v>Middle Age (30+)</v>
      </c>
      <c r="O387" s="3" t="s">
        <v>18</v>
      </c>
    </row>
    <row r="388" spans="1:15" x14ac:dyDescent="0.3">
      <c r="A388" s="4">
        <v>28957</v>
      </c>
      <c r="B388" s="3" t="s">
        <v>40</v>
      </c>
      <c r="C388" s="3" t="s">
        <v>41</v>
      </c>
      <c r="D388" s="11">
        <v>120000</v>
      </c>
      <c r="E388" s="9" t="str" cm="1">
        <f t="array" ref="E388">_xlfn.IFS(D388&gt;149000, "Very High", D388&gt;99000, "High", D388&gt;59999, "Average", D388&gt;19999, "Low", D388&gt;0, "Poverty")</f>
        <v>High</v>
      </c>
      <c r="F388" s="3">
        <v>0</v>
      </c>
      <c r="G388" t="s">
        <v>29</v>
      </c>
      <c r="H388" t="s">
        <v>21</v>
      </c>
      <c r="I388" s="3" t="s">
        <v>15</v>
      </c>
      <c r="J388" s="3">
        <v>4</v>
      </c>
      <c r="K388" t="s">
        <v>30</v>
      </c>
      <c r="L388" t="s">
        <v>24</v>
      </c>
      <c r="M388" s="3">
        <v>34</v>
      </c>
      <c r="N388" s="3" t="str" cm="1">
        <f t="array" ref="N388">_xlfn.IFS(M388&gt;59, "Pension Age", M388&gt;44, "Elderly (45+)", M388&gt;29, "Middle Age (30+)", M388&gt;22, "Adult (23+)", M388&gt;15, "Teen/Young Adult (16+)")</f>
        <v>Middle Age (30+)</v>
      </c>
      <c r="O388" s="3" t="s">
        <v>15</v>
      </c>
    </row>
    <row r="389" spans="1:15" x14ac:dyDescent="0.3">
      <c r="A389" s="4">
        <v>13690</v>
      </c>
      <c r="B389" s="3" t="s">
        <v>40</v>
      </c>
      <c r="C389" s="3" t="s">
        <v>41</v>
      </c>
      <c r="D389" s="11">
        <v>20000</v>
      </c>
      <c r="E389" s="9" t="str" cm="1">
        <f t="array" ref="E389">_xlfn.IFS(D389&gt;149000, "Very High", D389&gt;99000, "High", D389&gt;59999, "Average", D389&gt;19999, "Low", D389&gt;0, "Poverty")</f>
        <v>Low</v>
      </c>
      <c r="F389" s="3">
        <v>0</v>
      </c>
      <c r="G389" t="s">
        <v>29</v>
      </c>
      <c r="H389" t="s">
        <v>25</v>
      </c>
      <c r="I389" s="3" t="s">
        <v>18</v>
      </c>
      <c r="J389" s="3">
        <v>2</v>
      </c>
      <c r="K389" t="s">
        <v>26</v>
      </c>
      <c r="L389" t="s">
        <v>17</v>
      </c>
      <c r="M389" s="3">
        <v>34</v>
      </c>
      <c r="N389" s="3" t="str" cm="1">
        <f t="array" ref="N389">_xlfn.IFS(M389&gt;59, "Pension Age", M389&gt;44, "Elderly (45+)", M389&gt;29, "Middle Age (30+)", M389&gt;22, "Adult (23+)", M389&gt;15, "Teen/Young Adult (16+)")</f>
        <v>Middle Age (30+)</v>
      </c>
      <c r="O389" s="3" t="s">
        <v>15</v>
      </c>
    </row>
    <row r="390" spans="1:15" x14ac:dyDescent="0.3">
      <c r="A390" s="4">
        <v>12568</v>
      </c>
      <c r="B390" s="3" t="s">
        <v>39</v>
      </c>
      <c r="C390" s="3" t="s">
        <v>41</v>
      </c>
      <c r="D390" s="11">
        <v>30000</v>
      </c>
      <c r="E390" s="9" t="str" cm="1">
        <f t="array" ref="E390">_xlfn.IFS(D390&gt;149000, "Very High", D390&gt;99000, "High", D390&gt;59999, "Average", D390&gt;19999, "Low", D390&gt;0, "Poverty")</f>
        <v>Low</v>
      </c>
      <c r="F390" s="3">
        <v>1</v>
      </c>
      <c r="G390" t="s">
        <v>13</v>
      </c>
      <c r="H390" t="s">
        <v>20</v>
      </c>
      <c r="I390" s="3" t="s">
        <v>15</v>
      </c>
      <c r="J390" s="3">
        <v>0</v>
      </c>
      <c r="K390" t="s">
        <v>16</v>
      </c>
      <c r="L390" t="s">
        <v>17</v>
      </c>
      <c r="M390" s="3">
        <v>64</v>
      </c>
      <c r="N390" s="3" t="str" cm="1">
        <f t="array" ref="N390">_xlfn.IFS(M390&gt;59, "Pension Age", M390&gt;44, "Elderly (45+)", M390&gt;29, "Middle Age (30+)", M390&gt;22, "Adult (23+)", M390&gt;15, "Teen/Young Adult (16+)")</f>
        <v>Pension Age</v>
      </c>
      <c r="O390" s="3" t="s">
        <v>18</v>
      </c>
    </row>
    <row r="391" spans="1:15" x14ac:dyDescent="0.3">
      <c r="A391" s="4">
        <v>13122</v>
      </c>
      <c r="B391" s="3" t="s">
        <v>39</v>
      </c>
      <c r="C391" s="3" t="s">
        <v>41</v>
      </c>
      <c r="D391" s="11">
        <v>80000</v>
      </c>
      <c r="E391" s="9" t="str" cm="1">
        <f t="array" ref="E391">_xlfn.IFS(D391&gt;149000, "Very High", D391&gt;99000, "High", D391&gt;59999, "Average", D391&gt;19999, "Low", D391&gt;0, "Poverty")</f>
        <v>Average</v>
      </c>
      <c r="F391" s="3">
        <v>0</v>
      </c>
      <c r="G391" t="s">
        <v>13</v>
      </c>
      <c r="H391" t="s">
        <v>21</v>
      </c>
      <c r="I391" s="3" t="s">
        <v>15</v>
      </c>
      <c r="J391" s="3">
        <v>1</v>
      </c>
      <c r="K391" t="s">
        <v>26</v>
      </c>
      <c r="L391" t="s">
        <v>24</v>
      </c>
      <c r="M391" s="3">
        <v>41</v>
      </c>
      <c r="N391" s="3" t="str" cm="1">
        <f t="array" ref="N391">_xlfn.IFS(M391&gt;59, "Pension Age", M391&gt;44, "Elderly (45+)", M391&gt;29, "Middle Age (30+)", M391&gt;22, "Adult (23+)", M391&gt;15, "Teen/Young Adult (16+)")</f>
        <v>Middle Age (30+)</v>
      </c>
      <c r="O391" s="3" t="s">
        <v>15</v>
      </c>
    </row>
    <row r="392" spans="1:15" x14ac:dyDescent="0.3">
      <c r="A392" s="4">
        <v>21184</v>
      </c>
      <c r="B392" s="3" t="s">
        <v>40</v>
      </c>
      <c r="C392" s="3" t="s">
        <v>42</v>
      </c>
      <c r="D392" s="11">
        <v>70000</v>
      </c>
      <c r="E392" s="9" t="str" cm="1">
        <f t="array" ref="E392">_xlfn.IFS(D392&gt;149000, "Very High", D392&gt;99000, "High", D392&gt;59999, "Average", D392&gt;19999, "Low", D392&gt;0, "Poverty")</f>
        <v>Average</v>
      </c>
      <c r="F392" s="3">
        <v>0</v>
      </c>
      <c r="G392" t="s">
        <v>13</v>
      </c>
      <c r="H392" t="s">
        <v>21</v>
      </c>
      <c r="I392" s="3" t="s">
        <v>18</v>
      </c>
      <c r="J392" s="3">
        <v>1</v>
      </c>
      <c r="K392" t="s">
        <v>23</v>
      </c>
      <c r="L392" t="s">
        <v>24</v>
      </c>
      <c r="M392" s="3">
        <v>38</v>
      </c>
      <c r="N392" s="3" t="str" cm="1">
        <f t="array" ref="N392">_xlfn.IFS(M392&gt;59, "Pension Age", M392&gt;44, "Elderly (45+)", M392&gt;29, "Middle Age (30+)", M392&gt;22, "Adult (23+)", M392&gt;15, "Teen/Young Adult (16+)")</f>
        <v>Middle Age (30+)</v>
      </c>
      <c r="O392" s="3" t="s">
        <v>18</v>
      </c>
    </row>
    <row r="393" spans="1:15" x14ac:dyDescent="0.3">
      <c r="A393" s="4">
        <v>26150</v>
      </c>
      <c r="B393" s="3" t="s">
        <v>40</v>
      </c>
      <c r="C393" s="3" t="s">
        <v>41</v>
      </c>
      <c r="D393" s="11">
        <v>70000</v>
      </c>
      <c r="E393" s="9" t="str" cm="1">
        <f t="array" ref="E393">_xlfn.IFS(D393&gt;149000, "Very High", D393&gt;99000, "High", D393&gt;59999, "Average", D393&gt;19999, "Low", D393&gt;0, "Poverty")</f>
        <v>Average</v>
      </c>
      <c r="F393" s="3">
        <v>0</v>
      </c>
      <c r="G393" t="s">
        <v>13</v>
      </c>
      <c r="H393" t="s">
        <v>21</v>
      </c>
      <c r="I393" s="3" t="s">
        <v>18</v>
      </c>
      <c r="J393" s="3">
        <v>1</v>
      </c>
      <c r="K393" t="s">
        <v>16</v>
      </c>
      <c r="L393" t="s">
        <v>24</v>
      </c>
      <c r="M393" s="3">
        <v>41</v>
      </c>
      <c r="N393" s="3" t="str" cm="1">
        <f t="array" ref="N393">_xlfn.IFS(M393&gt;59, "Pension Age", M393&gt;44, "Elderly (45+)", M393&gt;29, "Middle Age (30+)", M393&gt;22, "Adult (23+)", M393&gt;15, "Teen/Young Adult (16+)")</f>
        <v>Middle Age (30+)</v>
      </c>
      <c r="O393" s="3" t="s">
        <v>15</v>
      </c>
    </row>
    <row r="394" spans="1:15" x14ac:dyDescent="0.3">
      <c r="A394" s="4">
        <v>24151</v>
      </c>
      <c r="B394" s="3" t="s">
        <v>40</v>
      </c>
      <c r="C394" s="3" t="s">
        <v>42</v>
      </c>
      <c r="D394" s="11">
        <v>20000</v>
      </c>
      <c r="E394" s="9" t="str" cm="1">
        <f t="array" ref="E394">_xlfn.IFS(D394&gt;149000, "Very High", D394&gt;99000, "High", D394&gt;59999, "Average", D394&gt;19999, "Low", D394&gt;0, "Poverty")</f>
        <v>Low</v>
      </c>
      <c r="F394" s="3">
        <v>1</v>
      </c>
      <c r="G394" t="s">
        <v>13</v>
      </c>
      <c r="H394" t="s">
        <v>20</v>
      </c>
      <c r="I394" s="3" t="s">
        <v>18</v>
      </c>
      <c r="J394" s="3">
        <v>0</v>
      </c>
      <c r="K394" t="s">
        <v>16</v>
      </c>
      <c r="L394" t="s">
        <v>17</v>
      </c>
      <c r="M394" s="3">
        <v>51</v>
      </c>
      <c r="N394" s="3" t="str" cm="1">
        <f t="array" ref="N394">_xlfn.IFS(M394&gt;59, "Pension Age", M394&gt;44, "Elderly (45+)", M394&gt;29, "Middle Age (30+)", M394&gt;22, "Adult (23+)", M394&gt;15, "Teen/Young Adult (16+)")</f>
        <v>Elderly (45+)</v>
      </c>
      <c r="O394" s="3" t="s">
        <v>18</v>
      </c>
    </row>
    <row r="395" spans="1:15" x14ac:dyDescent="0.3">
      <c r="A395" s="4">
        <v>23962</v>
      </c>
      <c r="B395" s="3" t="s">
        <v>39</v>
      </c>
      <c r="C395" s="3" t="s">
        <v>41</v>
      </c>
      <c r="D395" s="11">
        <v>10000</v>
      </c>
      <c r="E395" s="9" t="str" cm="1">
        <f t="array" ref="E395">_xlfn.IFS(D395&gt;149000, "Very High", D395&gt;99000, "High", D395&gt;59999, "Average", D395&gt;19999, "Low", D395&gt;0, "Poverty")</f>
        <v>Poverty</v>
      </c>
      <c r="F395" s="3">
        <v>0</v>
      </c>
      <c r="G395" t="s">
        <v>29</v>
      </c>
      <c r="H395" t="s">
        <v>25</v>
      </c>
      <c r="I395" s="3" t="s">
        <v>15</v>
      </c>
      <c r="J395" s="3">
        <v>2</v>
      </c>
      <c r="K395" t="s">
        <v>26</v>
      </c>
      <c r="L395" t="s">
        <v>17</v>
      </c>
      <c r="M395" s="3">
        <v>32</v>
      </c>
      <c r="N395" s="3" t="str" cm="1">
        <f t="array" ref="N395">_xlfn.IFS(M395&gt;59, "Pension Age", M395&gt;44, "Elderly (45+)", M395&gt;29, "Middle Age (30+)", M395&gt;22, "Adult (23+)", M395&gt;15, "Teen/Young Adult (16+)")</f>
        <v>Middle Age (30+)</v>
      </c>
      <c r="O395" s="3" t="s">
        <v>18</v>
      </c>
    </row>
    <row r="396" spans="1:15" x14ac:dyDescent="0.3">
      <c r="A396" s="4">
        <v>17793</v>
      </c>
      <c r="B396" s="3" t="s">
        <v>39</v>
      </c>
      <c r="C396" s="3" t="s">
        <v>41</v>
      </c>
      <c r="D396" s="11">
        <v>40000</v>
      </c>
      <c r="E396" s="9" t="str" cm="1">
        <f t="array" ref="E396">_xlfn.IFS(D396&gt;149000, "Very High", D396&gt;99000, "High", D396&gt;59999, "Average", D396&gt;19999, "Low", D396&gt;0, "Poverty")</f>
        <v>Low</v>
      </c>
      <c r="F396" s="3">
        <v>0</v>
      </c>
      <c r="G396" t="s">
        <v>13</v>
      </c>
      <c r="H396" t="s">
        <v>20</v>
      </c>
      <c r="I396" s="3" t="s">
        <v>15</v>
      </c>
      <c r="J396" s="3">
        <v>0</v>
      </c>
      <c r="K396" t="s">
        <v>16</v>
      </c>
      <c r="L396" t="s">
        <v>17</v>
      </c>
      <c r="M396" s="3">
        <v>38</v>
      </c>
      <c r="N396" s="3" t="str" cm="1">
        <f t="array" ref="N396">_xlfn.IFS(M396&gt;59, "Pension Age", M396&gt;44, "Elderly (45+)", M396&gt;29, "Middle Age (30+)", M396&gt;22, "Adult (23+)", M396&gt;15, "Teen/Young Adult (16+)")</f>
        <v>Middle Age (30+)</v>
      </c>
      <c r="O396" s="3" t="s">
        <v>15</v>
      </c>
    </row>
    <row r="397" spans="1:15" x14ac:dyDescent="0.3">
      <c r="A397" s="4">
        <v>14926</v>
      </c>
      <c r="B397" s="3" t="s">
        <v>39</v>
      </c>
      <c r="C397" s="3" t="s">
        <v>42</v>
      </c>
      <c r="D397" s="11">
        <v>30000</v>
      </c>
      <c r="E397" s="9" t="str" cm="1">
        <f t="array" ref="E397">_xlfn.IFS(D397&gt;149000, "Very High", D397&gt;99000, "High", D397&gt;59999, "Average", D397&gt;19999, "Low", D397&gt;0, "Poverty")</f>
        <v>Low</v>
      </c>
      <c r="F397" s="3">
        <v>1</v>
      </c>
      <c r="G397" t="s">
        <v>13</v>
      </c>
      <c r="H397" t="s">
        <v>20</v>
      </c>
      <c r="I397" s="3" t="s">
        <v>15</v>
      </c>
      <c r="J397" s="3">
        <v>0</v>
      </c>
      <c r="K397" t="s">
        <v>16</v>
      </c>
      <c r="L397" t="s">
        <v>17</v>
      </c>
      <c r="M397" s="3">
        <v>38</v>
      </c>
      <c r="N397" s="3" t="str" cm="1">
        <f t="array" ref="N397">_xlfn.IFS(M397&gt;59, "Pension Age", M397&gt;44, "Elderly (45+)", M397&gt;29, "Middle Age (30+)", M397&gt;22, "Adult (23+)", M397&gt;15, "Teen/Young Adult (16+)")</f>
        <v>Middle Age (30+)</v>
      </c>
      <c r="O397" s="3" t="s">
        <v>15</v>
      </c>
    </row>
    <row r="398" spans="1:15" x14ac:dyDescent="0.3">
      <c r="A398" s="4">
        <v>16163</v>
      </c>
      <c r="B398" s="3" t="s">
        <v>40</v>
      </c>
      <c r="C398" s="3" t="s">
        <v>42</v>
      </c>
      <c r="D398" s="11">
        <v>60000</v>
      </c>
      <c r="E398" s="9" t="str" cm="1">
        <f t="array" ref="E398">_xlfn.IFS(D398&gt;149000, "Very High", D398&gt;99000, "High", D398&gt;59999, "Average", D398&gt;19999, "Low", D398&gt;0, "Poverty")</f>
        <v>Average</v>
      </c>
      <c r="F398" s="3">
        <v>2</v>
      </c>
      <c r="G398" t="s">
        <v>13</v>
      </c>
      <c r="H398" t="s">
        <v>21</v>
      </c>
      <c r="I398" s="3" t="s">
        <v>15</v>
      </c>
      <c r="J398" s="3">
        <v>1</v>
      </c>
      <c r="K398" t="s">
        <v>22</v>
      </c>
      <c r="L398" t="s">
        <v>24</v>
      </c>
      <c r="M398" s="3">
        <v>38</v>
      </c>
      <c r="N398" s="3" t="str" cm="1">
        <f t="array" ref="N398">_xlfn.IFS(M398&gt;59, "Pension Age", M398&gt;44, "Elderly (45+)", M398&gt;29, "Middle Age (30+)", M398&gt;22, "Adult (23+)", M398&gt;15, "Teen/Young Adult (16+)")</f>
        <v>Middle Age (30+)</v>
      </c>
      <c r="O398" s="3" t="s">
        <v>15</v>
      </c>
    </row>
    <row r="399" spans="1:15" x14ac:dyDescent="0.3">
      <c r="A399" s="4">
        <v>21365</v>
      </c>
      <c r="B399" s="3" t="s">
        <v>39</v>
      </c>
      <c r="C399" s="3" t="s">
        <v>41</v>
      </c>
      <c r="D399" s="11">
        <v>10000</v>
      </c>
      <c r="E399" s="9" t="str" cm="1">
        <f t="array" ref="E399">_xlfn.IFS(D399&gt;149000, "Very High", D399&gt;99000, "High", D399&gt;59999, "Average", D399&gt;19999, "Low", D399&gt;0, "Poverty")</f>
        <v>Poverty</v>
      </c>
      <c r="F399" s="3">
        <v>2</v>
      </c>
      <c r="G399" t="s">
        <v>29</v>
      </c>
      <c r="H399" t="s">
        <v>20</v>
      </c>
      <c r="I399" s="3" t="s">
        <v>15</v>
      </c>
      <c r="J399" s="3">
        <v>2</v>
      </c>
      <c r="K399" t="s">
        <v>23</v>
      </c>
      <c r="L399" t="s">
        <v>24</v>
      </c>
      <c r="M399" s="3">
        <v>58</v>
      </c>
      <c r="N399" s="3" t="str" cm="1">
        <f t="array" ref="N399">_xlfn.IFS(M399&gt;59, "Pension Age", M399&gt;44, "Elderly (45+)", M399&gt;29, "Middle Age (30+)", M399&gt;22, "Adult (23+)", M399&gt;15, "Teen/Young Adult (16+)")</f>
        <v>Elderly (45+)</v>
      </c>
      <c r="O399" s="3" t="s">
        <v>18</v>
      </c>
    </row>
    <row r="400" spans="1:15" x14ac:dyDescent="0.3">
      <c r="A400" s="4">
        <v>27771</v>
      </c>
      <c r="B400" s="3" t="s">
        <v>40</v>
      </c>
      <c r="C400" s="3" t="s">
        <v>42</v>
      </c>
      <c r="D400" s="11">
        <v>30000</v>
      </c>
      <c r="E400" s="9" t="str" cm="1">
        <f t="array" ref="E400">_xlfn.IFS(D400&gt;149000, "Very High", D400&gt;99000, "High", D400&gt;59999, "Average", D400&gt;19999, "Low", D400&gt;0, "Poverty")</f>
        <v>Low</v>
      </c>
      <c r="F400" s="3">
        <v>1</v>
      </c>
      <c r="G400" t="s">
        <v>13</v>
      </c>
      <c r="H400" t="s">
        <v>20</v>
      </c>
      <c r="I400" s="3" t="s">
        <v>15</v>
      </c>
      <c r="J400" s="3">
        <v>1</v>
      </c>
      <c r="K400" t="s">
        <v>26</v>
      </c>
      <c r="L400" t="s">
        <v>17</v>
      </c>
      <c r="M400" s="3">
        <v>39</v>
      </c>
      <c r="N400" s="3" t="str" cm="1">
        <f t="array" ref="N400">_xlfn.IFS(M400&gt;59, "Pension Age", M400&gt;44, "Elderly (45+)", M400&gt;29, "Middle Age (30+)", M400&gt;22, "Adult (23+)", M400&gt;15, "Teen/Young Adult (16+)")</f>
        <v>Middle Age (30+)</v>
      </c>
      <c r="O400" s="3" t="s">
        <v>15</v>
      </c>
    </row>
    <row r="401" spans="1:15" x14ac:dyDescent="0.3">
      <c r="A401" s="4">
        <v>26167</v>
      </c>
      <c r="B401" s="3" t="s">
        <v>40</v>
      </c>
      <c r="C401" s="3" t="s">
        <v>41</v>
      </c>
      <c r="D401" s="11">
        <v>40000</v>
      </c>
      <c r="E401" s="9" t="str" cm="1">
        <f t="array" ref="E401">_xlfn.IFS(D401&gt;149000, "Very High", D401&gt;99000, "High", D401&gt;59999, "Average", D401&gt;19999, "Low", D401&gt;0, "Poverty")</f>
        <v>Low</v>
      </c>
      <c r="F401" s="3">
        <v>2</v>
      </c>
      <c r="G401" t="s">
        <v>13</v>
      </c>
      <c r="H401" t="s">
        <v>28</v>
      </c>
      <c r="I401" s="3" t="s">
        <v>18</v>
      </c>
      <c r="J401" s="3">
        <v>1</v>
      </c>
      <c r="K401" t="s">
        <v>23</v>
      </c>
      <c r="L401" t="s">
        <v>24</v>
      </c>
      <c r="M401" s="3">
        <v>53</v>
      </c>
      <c r="N401" s="3" t="str" cm="1">
        <f t="array" ref="N401">_xlfn.IFS(M401&gt;59, "Pension Age", M401&gt;44, "Elderly (45+)", M401&gt;29, "Middle Age (30+)", M401&gt;22, "Adult (23+)", M401&gt;15, "Teen/Young Adult (16+)")</f>
        <v>Elderly (45+)</v>
      </c>
      <c r="O401" s="3" t="s">
        <v>15</v>
      </c>
    </row>
    <row r="402" spans="1:15" x14ac:dyDescent="0.3">
      <c r="A402" s="4">
        <v>25792</v>
      </c>
      <c r="B402" s="3" t="s">
        <v>40</v>
      </c>
      <c r="C402" s="3" t="s">
        <v>41</v>
      </c>
      <c r="D402" s="11">
        <v>110000</v>
      </c>
      <c r="E402" s="9" t="str" cm="1">
        <f t="array" ref="E402">_xlfn.IFS(D402&gt;149000, "Very High", D402&gt;99000, "High", D402&gt;59999, "Average", D402&gt;19999, "Low", D402&gt;0, "Poverty")</f>
        <v>High</v>
      </c>
      <c r="F402" s="3">
        <v>3</v>
      </c>
      <c r="G402" t="s">
        <v>13</v>
      </c>
      <c r="H402" t="s">
        <v>28</v>
      </c>
      <c r="I402" s="3" t="s">
        <v>15</v>
      </c>
      <c r="J402" s="3">
        <v>4</v>
      </c>
      <c r="K402" t="s">
        <v>30</v>
      </c>
      <c r="L402" t="s">
        <v>17</v>
      </c>
      <c r="M402" s="3">
        <v>53</v>
      </c>
      <c r="N402" s="3" t="str" cm="1">
        <f t="array" ref="N402">_xlfn.IFS(M402&gt;59, "Pension Age", M402&gt;44, "Elderly (45+)", M402&gt;29, "Middle Age (30+)", M402&gt;22, "Adult (23+)", M402&gt;15, "Teen/Young Adult (16+)")</f>
        <v>Elderly (45+)</v>
      </c>
      <c r="O402" s="3" t="s">
        <v>18</v>
      </c>
    </row>
    <row r="403" spans="1:15" x14ac:dyDescent="0.3">
      <c r="A403" s="4">
        <v>11555</v>
      </c>
      <c r="B403" s="3" t="s">
        <v>39</v>
      </c>
      <c r="C403" s="3" t="s">
        <v>41</v>
      </c>
      <c r="D403" s="11">
        <v>40000</v>
      </c>
      <c r="E403" s="9" t="str" cm="1">
        <f t="array" ref="E403">_xlfn.IFS(D403&gt;149000, "Very High", D403&gt;99000, "High", D403&gt;59999, "Average", D403&gt;19999, "Low", D403&gt;0, "Poverty")</f>
        <v>Low</v>
      </c>
      <c r="F403" s="3">
        <v>1</v>
      </c>
      <c r="G403" t="s">
        <v>13</v>
      </c>
      <c r="H403" t="s">
        <v>20</v>
      </c>
      <c r="I403" s="3" t="s">
        <v>15</v>
      </c>
      <c r="J403" s="3">
        <v>0</v>
      </c>
      <c r="K403" t="s">
        <v>16</v>
      </c>
      <c r="L403" t="s">
        <v>17</v>
      </c>
      <c r="M403" s="3">
        <v>80</v>
      </c>
      <c r="N403" s="3" t="str" cm="1">
        <f t="array" ref="N403">_xlfn.IFS(M403&gt;59, "Pension Age", M403&gt;44, "Elderly (45+)", M403&gt;29, "Middle Age (30+)", M403&gt;22, "Adult (23+)", M403&gt;15, "Teen/Young Adult (16+)")</f>
        <v>Pension Age</v>
      </c>
      <c r="O403" s="3" t="s">
        <v>18</v>
      </c>
    </row>
    <row r="404" spans="1:15" x14ac:dyDescent="0.3">
      <c r="A404" s="4">
        <v>22381</v>
      </c>
      <c r="B404" s="3" t="s">
        <v>39</v>
      </c>
      <c r="C404" s="3" t="s">
        <v>42</v>
      </c>
      <c r="D404" s="11">
        <v>10000</v>
      </c>
      <c r="E404" s="9" t="str" cm="1">
        <f t="array" ref="E404">_xlfn.IFS(D404&gt;149000, "Very High", D404&gt;99000, "High", D404&gt;59999, "Average", D404&gt;19999, "Low", D404&gt;0, "Poverty")</f>
        <v>Poverty</v>
      </c>
      <c r="F404" s="3">
        <v>1</v>
      </c>
      <c r="G404" t="s">
        <v>31</v>
      </c>
      <c r="H404" t="s">
        <v>25</v>
      </c>
      <c r="I404" s="3" t="s">
        <v>15</v>
      </c>
      <c r="J404" s="3">
        <v>0</v>
      </c>
      <c r="K404" t="s">
        <v>16</v>
      </c>
      <c r="L404" t="s">
        <v>17</v>
      </c>
      <c r="M404" s="3">
        <v>44</v>
      </c>
      <c r="N404" s="3" t="str" cm="1">
        <f t="array" ref="N404">_xlfn.IFS(M404&gt;59, "Pension Age", M404&gt;44, "Elderly (45+)", M404&gt;29, "Middle Age (30+)", M404&gt;22, "Adult (23+)", M404&gt;15, "Teen/Young Adult (16+)")</f>
        <v>Middle Age (30+)</v>
      </c>
      <c r="O404" s="3" t="s">
        <v>18</v>
      </c>
    </row>
    <row r="405" spans="1:15" x14ac:dyDescent="0.3">
      <c r="A405" s="4">
        <v>17882</v>
      </c>
      <c r="B405" s="3" t="s">
        <v>39</v>
      </c>
      <c r="C405" s="3" t="s">
        <v>42</v>
      </c>
      <c r="D405" s="11">
        <v>20000</v>
      </c>
      <c r="E405" s="9" t="str" cm="1">
        <f t="array" ref="E405">_xlfn.IFS(D405&gt;149000, "Very High", D405&gt;99000, "High", D405&gt;59999, "Average", D405&gt;19999, "Low", D405&gt;0, "Poverty")</f>
        <v>Low</v>
      </c>
      <c r="F405" s="3">
        <v>1</v>
      </c>
      <c r="G405" t="s">
        <v>31</v>
      </c>
      <c r="H405" t="s">
        <v>20</v>
      </c>
      <c r="I405" s="3" t="s">
        <v>15</v>
      </c>
      <c r="J405" s="3">
        <v>0</v>
      </c>
      <c r="K405" t="s">
        <v>16</v>
      </c>
      <c r="L405" t="s">
        <v>17</v>
      </c>
      <c r="M405" s="3">
        <v>44</v>
      </c>
      <c r="N405" s="3" t="str" cm="1">
        <f t="array" ref="N405">_xlfn.IFS(M405&gt;59, "Pension Age", M405&gt;44, "Elderly (45+)", M405&gt;29, "Middle Age (30+)", M405&gt;22, "Adult (23+)", M405&gt;15, "Teen/Young Adult (16+)")</f>
        <v>Middle Age (30+)</v>
      </c>
      <c r="O405" s="3" t="s">
        <v>18</v>
      </c>
    </row>
    <row r="406" spans="1:15" x14ac:dyDescent="0.3">
      <c r="A406" s="4">
        <v>22174</v>
      </c>
      <c r="B406" s="3" t="s">
        <v>39</v>
      </c>
      <c r="C406" s="3" t="s">
        <v>42</v>
      </c>
      <c r="D406" s="11">
        <v>30000</v>
      </c>
      <c r="E406" s="9" t="str" cm="1">
        <f t="array" ref="E406">_xlfn.IFS(D406&gt;149000, "Very High", D406&gt;99000, "High", D406&gt;59999, "Average", D406&gt;19999, "Low", D406&gt;0, "Poverty")</f>
        <v>Low</v>
      </c>
      <c r="F406" s="3">
        <v>3</v>
      </c>
      <c r="G406" t="s">
        <v>27</v>
      </c>
      <c r="H406" t="s">
        <v>14</v>
      </c>
      <c r="I406" s="3" t="s">
        <v>15</v>
      </c>
      <c r="J406" s="3">
        <v>2</v>
      </c>
      <c r="K406" t="s">
        <v>23</v>
      </c>
      <c r="L406" t="s">
        <v>24</v>
      </c>
      <c r="M406" s="3">
        <v>54</v>
      </c>
      <c r="N406" s="3" t="str" cm="1">
        <f t="array" ref="N406">_xlfn.IFS(M406&gt;59, "Pension Age", M406&gt;44, "Elderly (45+)", M406&gt;29, "Middle Age (30+)", M406&gt;22, "Adult (23+)", M406&gt;15, "Teen/Young Adult (16+)")</f>
        <v>Elderly (45+)</v>
      </c>
      <c r="O406" s="3" t="s">
        <v>15</v>
      </c>
    </row>
    <row r="407" spans="1:15" x14ac:dyDescent="0.3">
      <c r="A407" s="4">
        <v>22439</v>
      </c>
      <c r="B407" s="3" t="s">
        <v>39</v>
      </c>
      <c r="C407" s="3" t="s">
        <v>41</v>
      </c>
      <c r="D407" s="11">
        <v>30000</v>
      </c>
      <c r="E407" s="9" t="str" cm="1">
        <f t="array" ref="E407">_xlfn.IFS(D407&gt;149000, "Very High", D407&gt;99000, "High", D407&gt;59999, "Average", D407&gt;19999, "Low", D407&gt;0, "Poverty")</f>
        <v>Low</v>
      </c>
      <c r="F407" s="3">
        <v>0</v>
      </c>
      <c r="G407" t="s">
        <v>13</v>
      </c>
      <c r="H407" t="s">
        <v>20</v>
      </c>
      <c r="I407" s="3" t="s">
        <v>15</v>
      </c>
      <c r="J407" s="3">
        <v>0</v>
      </c>
      <c r="K407" t="s">
        <v>16</v>
      </c>
      <c r="L407" t="s">
        <v>17</v>
      </c>
      <c r="M407" s="3">
        <v>37</v>
      </c>
      <c r="N407" s="3" t="str" cm="1">
        <f t="array" ref="N407">_xlfn.IFS(M407&gt;59, "Pension Age", M407&gt;44, "Elderly (45+)", M407&gt;29, "Middle Age (30+)", M407&gt;22, "Adult (23+)", M407&gt;15, "Teen/Young Adult (16+)")</f>
        <v>Middle Age (30+)</v>
      </c>
      <c r="O407" s="3" t="s">
        <v>15</v>
      </c>
    </row>
    <row r="408" spans="1:15" x14ac:dyDescent="0.3">
      <c r="A408" s="4">
        <v>18012</v>
      </c>
      <c r="B408" s="3" t="s">
        <v>39</v>
      </c>
      <c r="C408" s="3" t="s">
        <v>41</v>
      </c>
      <c r="D408" s="11">
        <v>40000</v>
      </c>
      <c r="E408" s="9" t="str" cm="1">
        <f t="array" ref="E408">_xlfn.IFS(D408&gt;149000, "Very High", D408&gt;99000, "High", D408&gt;59999, "Average", D408&gt;19999, "Low", D408&gt;0, "Poverty")</f>
        <v>Low</v>
      </c>
      <c r="F408" s="3">
        <v>1</v>
      </c>
      <c r="G408" t="s">
        <v>13</v>
      </c>
      <c r="H408" t="s">
        <v>14</v>
      </c>
      <c r="I408" s="3" t="s">
        <v>15</v>
      </c>
      <c r="J408" s="3">
        <v>0</v>
      </c>
      <c r="K408" t="s">
        <v>16</v>
      </c>
      <c r="L408" t="s">
        <v>17</v>
      </c>
      <c r="M408" s="3">
        <v>41</v>
      </c>
      <c r="N408" s="3" t="str" cm="1">
        <f t="array" ref="N408">_xlfn.IFS(M408&gt;59, "Pension Age", M408&gt;44, "Elderly (45+)", M408&gt;29, "Middle Age (30+)", M408&gt;22, "Adult (23+)", M408&gt;15, "Teen/Young Adult (16+)")</f>
        <v>Middle Age (30+)</v>
      </c>
      <c r="O408" s="3" t="s">
        <v>18</v>
      </c>
    </row>
    <row r="409" spans="1:15" x14ac:dyDescent="0.3">
      <c r="A409" s="4">
        <v>27582</v>
      </c>
      <c r="B409" s="3" t="s">
        <v>40</v>
      </c>
      <c r="C409" s="3" t="s">
        <v>41</v>
      </c>
      <c r="D409" s="11">
        <v>90000</v>
      </c>
      <c r="E409" s="9" t="str" cm="1">
        <f t="array" ref="E409">_xlfn.IFS(D409&gt;149000, "Very High", D409&gt;99000, "High", D409&gt;59999, "Average", D409&gt;19999, "Low", D409&gt;0, "Poverty")</f>
        <v>Average</v>
      </c>
      <c r="F409" s="3">
        <v>2</v>
      </c>
      <c r="G409" t="s">
        <v>13</v>
      </c>
      <c r="H409" t="s">
        <v>21</v>
      </c>
      <c r="I409" s="3" t="s">
        <v>18</v>
      </c>
      <c r="J409" s="3">
        <v>0</v>
      </c>
      <c r="K409" t="s">
        <v>16</v>
      </c>
      <c r="L409" t="s">
        <v>24</v>
      </c>
      <c r="M409" s="3">
        <v>36</v>
      </c>
      <c r="N409" s="3" t="str" cm="1">
        <f t="array" ref="N409">_xlfn.IFS(M409&gt;59, "Pension Age", M409&gt;44, "Elderly (45+)", M409&gt;29, "Middle Age (30+)", M409&gt;22, "Adult (23+)", M409&gt;15, "Teen/Young Adult (16+)")</f>
        <v>Middle Age (30+)</v>
      </c>
      <c r="O409" s="3" t="s">
        <v>15</v>
      </c>
    </row>
    <row r="410" spans="1:15" x14ac:dyDescent="0.3">
      <c r="A410" s="4">
        <v>12744</v>
      </c>
      <c r="B410" s="3" t="s">
        <v>40</v>
      </c>
      <c r="C410" s="3" t="s">
        <v>41</v>
      </c>
      <c r="D410" s="11">
        <v>40000</v>
      </c>
      <c r="E410" s="9" t="str" cm="1">
        <f t="array" ref="E410">_xlfn.IFS(D410&gt;149000, "Very High", D410&gt;99000, "High", D410&gt;59999, "Average", D410&gt;19999, "Low", D410&gt;0, "Poverty")</f>
        <v>Low</v>
      </c>
      <c r="F410" s="3">
        <v>2</v>
      </c>
      <c r="G410" t="s">
        <v>19</v>
      </c>
      <c r="H410" t="s">
        <v>20</v>
      </c>
      <c r="I410" s="3" t="s">
        <v>15</v>
      </c>
      <c r="J410" s="3">
        <v>0</v>
      </c>
      <c r="K410" t="s">
        <v>16</v>
      </c>
      <c r="L410" t="s">
        <v>17</v>
      </c>
      <c r="M410" s="3">
        <v>33</v>
      </c>
      <c r="N410" s="3" t="str" cm="1">
        <f t="array" ref="N410">_xlfn.IFS(M410&gt;59, "Pension Age", M410&gt;44, "Elderly (45+)", M410&gt;29, "Middle Age (30+)", M410&gt;22, "Adult (23+)", M410&gt;15, "Teen/Young Adult (16+)")</f>
        <v>Middle Age (30+)</v>
      </c>
      <c r="O410" s="3" t="s">
        <v>18</v>
      </c>
    </row>
    <row r="411" spans="1:15" x14ac:dyDescent="0.3">
      <c r="A411" s="4">
        <v>22821</v>
      </c>
      <c r="B411" s="3" t="s">
        <v>39</v>
      </c>
      <c r="C411" s="3" t="s">
        <v>41</v>
      </c>
      <c r="D411" s="11">
        <v>130000</v>
      </c>
      <c r="E411" s="9" t="str" cm="1">
        <f t="array" ref="E411">_xlfn.IFS(D411&gt;149000, "Very High", D411&gt;99000, "High", D411&gt;59999, "Average", D411&gt;19999, "Low", D411&gt;0, "Poverty")</f>
        <v>High</v>
      </c>
      <c r="F411" s="3">
        <v>3</v>
      </c>
      <c r="G411" t="s">
        <v>19</v>
      </c>
      <c r="H411" t="s">
        <v>21</v>
      </c>
      <c r="I411" s="3" t="s">
        <v>15</v>
      </c>
      <c r="J411" s="3">
        <v>4</v>
      </c>
      <c r="K411" t="s">
        <v>16</v>
      </c>
      <c r="L411" t="s">
        <v>17</v>
      </c>
      <c r="M411" s="3">
        <v>52</v>
      </c>
      <c r="N411" s="3" t="str" cm="1">
        <f t="array" ref="N411">_xlfn.IFS(M411&gt;59, "Pension Age", M411&gt;44, "Elderly (45+)", M411&gt;29, "Middle Age (30+)", M411&gt;22, "Adult (23+)", M411&gt;15, "Teen/Young Adult (16+)")</f>
        <v>Elderly (45+)</v>
      </c>
      <c r="O411" s="3" t="s">
        <v>18</v>
      </c>
    </row>
    <row r="412" spans="1:15" x14ac:dyDescent="0.3">
      <c r="A412" s="4">
        <v>20171</v>
      </c>
      <c r="B412" s="3" t="s">
        <v>39</v>
      </c>
      <c r="C412" s="3" t="s">
        <v>41</v>
      </c>
      <c r="D412" s="11">
        <v>20000</v>
      </c>
      <c r="E412" s="9" t="str" cm="1">
        <f t="array" ref="E412">_xlfn.IFS(D412&gt;149000, "Very High", D412&gt;99000, "High", D412&gt;59999, "Average", D412&gt;19999, "Low", D412&gt;0, "Poverty")</f>
        <v>Low</v>
      </c>
      <c r="F412" s="3">
        <v>2</v>
      </c>
      <c r="G412" t="s">
        <v>19</v>
      </c>
      <c r="H412" t="s">
        <v>25</v>
      </c>
      <c r="I412" s="3" t="s">
        <v>15</v>
      </c>
      <c r="J412" s="3">
        <v>1</v>
      </c>
      <c r="K412" t="s">
        <v>16</v>
      </c>
      <c r="L412" t="s">
        <v>17</v>
      </c>
      <c r="M412" s="3">
        <v>46</v>
      </c>
      <c r="N412" s="3" t="str" cm="1">
        <f t="array" ref="N412">_xlfn.IFS(M412&gt;59, "Pension Age", M412&gt;44, "Elderly (45+)", M412&gt;29, "Middle Age (30+)", M412&gt;22, "Adult (23+)", M412&gt;15, "Teen/Young Adult (16+)")</f>
        <v>Elderly (45+)</v>
      </c>
      <c r="O412" s="3" t="s">
        <v>15</v>
      </c>
    </row>
    <row r="413" spans="1:15" x14ac:dyDescent="0.3">
      <c r="A413" s="4">
        <v>11116</v>
      </c>
      <c r="B413" s="3" t="s">
        <v>39</v>
      </c>
      <c r="C413" s="3" t="s">
        <v>42</v>
      </c>
      <c r="D413" s="11">
        <v>70000</v>
      </c>
      <c r="E413" s="9" t="str" cm="1">
        <f t="array" ref="E413">_xlfn.IFS(D413&gt;149000, "Very High", D413&gt;99000, "High", D413&gt;59999, "Average", D413&gt;19999, "Low", D413&gt;0, "Poverty")</f>
        <v>Average</v>
      </c>
      <c r="F413" s="3">
        <v>5</v>
      </c>
      <c r="G413" t="s">
        <v>19</v>
      </c>
      <c r="H413" t="s">
        <v>14</v>
      </c>
      <c r="I413" s="3" t="s">
        <v>15</v>
      </c>
      <c r="J413" s="3">
        <v>2</v>
      </c>
      <c r="K413" t="s">
        <v>23</v>
      </c>
      <c r="L413" t="s">
        <v>24</v>
      </c>
      <c r="M413" s="3">
        <v>43</v>
      </c>
      <c r="N413" s="3" t="str" cm="1">
        <f t="array" ref="N413">_xlfn.IFS(M413&gt;59, "Pension Age", M413&gt;44, "Elderly (45+)", M413&gt;29, "Middle Age (30+)", M413&gt;22, "Adult (23+)", M413&gt;15, "Teen/Young Adult (16+)")</f>
        <v>Middle Age (30+)</v>
      </c>
      <c r="O413" s="3" t="s">
        <v>18</v>
      </c>
    </row>
    <row r="414" spans="1:15" x14ac:dyDescent="0.3">
      <c r="A414" s="4">
        <v>20053</v>
      </c>
      <c r="B414" s="3" t="s">
        <v>40</v>
      </c>
      <c r="C414" s="3" t="s">
        <v>42</v>
      </c>
      <c r="D414" s="11">
        <v>40000</v>
      </c>
      <c r="E414" s="9" t="str" cm="1">
        <f t="array" ref="E414">_xlfn.IFS(D414&gt;149000, "Very High", D414&gt;99000, "High", D414&gt;59999, "Average", D414&gt;19999, "Low", D414&gt;0, "Poverty")</f>
        <v>Low</v>
      </c>
      <c r="F414" s="3">
        <v>2</v>
      </c>
      <c r="G414" t="s">
        <v>19</v>
      </c>
      <c r="H414" t="s">
        <v>20</v>
      </c>
      <c r="I414" s="3" t="s">
        <v>15</v>
      </c>
      <c r="J414" s="3">
        <v>0</v>
      </c>
      <c r="K414" t="s">
        <v>16</v>
      </c>
      <c r="L414" t="s">
        <v>17</v>
      </c>
      <c r="M414" s="3">
        <v>34</v>
      </c>
      <c r="N414" s="3" t="str" cm="1">
        <f t="array" ref="N414">_xlfn.IFS(M414&gt;59, "Pension Age", M414&gt;44, "Elderly (45+)", M414&gt;29, "Middle Age (30+)", M414&gt;22, "Adult (23+)", M414&gt;15, "Teen/Young Adult (16+)")</f>
        <v>Middle Age (30+)</v>
      </c>
      <c r="O414" s="3" t="s">
        <v>18</v>
      </c>
    </row>
    <row r="415" spans="1:15" x14ac:dyDescent="0.3">
      <c r="A415" s="4">
        <v>25266</v>
      </c>
      <c r="B415" s="3" t="s">
        <v>40</v>
      </c>
      <c r="C415" s="3" t="s">
        <v>41</v>
      </c>
      <c r="D415" s="11">
        <v>30000</v>
      </c>
      <c r="E415" s="9" t="str" cm="1">
        <f t="array" ref="E415">_xlfn.IFS(D415&gt;149000, "Very High", D415&gt;99000, "High", D415&gt;59999, "Average", D415&gt;19999, "Low", D415&gt;0, "Poverty")</f>
        <v>Low</v>
      </c>
      <c r="F415" s="3">
        <v>2</v>
      </c>
      <c r="G415" t="s">
        <v>19</v>
      </c>
      <c r="H415" t="s">
        <v>20</v>
      </c>
      <c r="I415" s="3" t="s">
        <v>18</v>
      </c>
      <c r="J415" s="3">
        <v>2</v>
      </c>
      <c r="K415" t="s">
        <v>23</v>
      </c>
      <c r="L415" t="s">
        <v>24</v>
      </c>
      <c r="M415" s="3">
        <v>67</v>
      </c>
      <c r="N415" s="3" t="str" cm="1">
        <f t="array" ref="N415">_xlfn.IFS(M415&gt;59, "Pension Age", M415&gt;44, "Elderly (45+)", M415&gt;29, "Middle Age (30+)", M415&gt;22, "Adult (23+)", M415&gt;15, "Teen/Young Adult (16+)")</f>
        <v>Pension Age</v>
      </c>
      <c r="O415" s="3" t="s">
        <v>18</v>
      </c>
    </row>
    <row r="416" spans="1:15" x14ac:dyDescent="0.3">
      <c r="A416" s="4">
        <v>17960</v>
      </c>
      <c r="B416" s="3" t="s">
        <v>39</v>
      </c>
      <c r="C416" s="3" t="s">
        <v>41</v>
      </c>
      <c r="D416" s="11">
        <v>40000</v>
      </c>
      <c r="E416" s="9" t="str" cm="1">
        <f t="array" ref="E416">_xlfn.IFS(D416&gt;149000, "Very High", D416&gt;99000, "High", D416&gt;59999, "Average", D416&gt;19999, "Low", D416&gt;0, "Poverty")</f>
        <v>Low</v>
      </c>
      <c r="F416" s="3">
        <v>0</v>
      </c>
      <c r="G416" t="s">
        <v>31</v>
      </c>
      <c r="H416" t="s">
        <v>20</v>
      </c>
      <c r="I416" s="3" t="s">
        <v>15</v>
      </c>
      <c r="J416" s="3">
        <v>0</v>
      </c>
      <c r="K416" t="s">
        <v>16</v>
      </c>
      <c r="L416" t="s">
        <v>17</v>
      </c>
      <c r="M416" s="3">
        <v>35</v>
      </c>
      <c r="N416" s="3" t="str" cm="1">
        <f t="array" ref="N416">_xlfn.IFS(M416&gt;59, "Pension Age", M416&gt;44, "Elderly (45+)", M416&gt;29, "Middle Age (30+)", M416&gt;22, "Adult (23+)", M416&gt;15, "Teen/Young Adult (16+)")</f>
        <v>Middle Age (30+)</v>
      </c>
      <c r="O416" s="3" t="s">
        <v>15</v>
      </c>
    </row>
    <row r="417" spans="1:15" x14ac:dyDescent="0.3">
      <c r="A417" s="4">
        <v>13961</v>
      </c>
      <c r="B417" s="3" t="s">
        <v>39</v>
      </c>
      <c r="C417" s="3" t="s">
        <v>41</v>
      </c>
      <c r="D417" s="11">
        <v>80000</v>
      </c>
      <c r="E417" s="9" t="str" cm="1">
        <f t="array" ref="E417">_xlfn.IFS(D417&gt;149000, "Very High", D417&gt;99000, "High", D417&gt;59999, "Average", D417&gt;19999, "Low", D417&gt;0, "Poverty")</f>
        <v>Average</v>
      </c>
      <c r="F417" s="3">
        <v>5</v>
      </c>
      <c r="G417" t="s">
        <v>31</v>
      </c>
      <c r="H417" t="s">
        <v>28</v>
      </c>
      <c r="I417" s="3" t="s">
        <v>15</v>
      </c>
      <c r="J417" s="3">
        <v>3</v>
      </c>
      <c r="K417" t="s">
        <v>16</v>
      </c>
      <c r="L417" t="s">
        <v>24</v>
      </c>
      <c r="M417" s="3">
        <v>40</v>
      </c>
      <c r="N417" s="3" t="str" cm="1">
        <f t="array" ref="N417">_xlfn.IFS(M417&gt;59, "Pension Age", M417&gt;44, "Elderly (45+)", M417&gt;29, "Middle Age (30+)", M417&gt;22, "Adult (23+)", M417&gt;15, "Teen/Young Adult (16+)")</f>
        <v>Middle Age (30+)</v>
      </c>
      <c r="O417" s="3" t="s">
        <v>18</v>
      </c>
    </row>
    <row r="418" spans="1:15" x14ac:dyDescent="0.3">
      <c r="A418" s="4">
        <v>11897</v>
      </c>
      <c r="B418" s="3" t="s">
        <v>40</v>
      </c>
      <c r="C418" s="3" t="s">
        <v>42</v>
      </c>
      <c r="D418" s="11">
        <v>60000</v>
      </c>
      <c r="E418" s="9" t="str" cm="1">
        <f t="array" ref="E418">_xlfn.IFS(D418&gt;149000, "Very High", D418&gt;99000, "High", D418&gt;59999, "Average", D418&gt;19999, "Low", D418&gt;0, "Poverty")</f>
        <v>Average</v>
      </c>
      <c r="F418" s="3">
        <v>2</v>
      </c>
      <c r="G418" t="s">
        <v>13</v>
      </c>
      <c r="H418" t="s">
        <v>21</v>
      </c>
      <c r="I418" s="3" t="s">
        <v>18</v>
      </c>
      <c r="J418" s="3">
        <v>1</v>
      </c>
      <c r="K418" t="s">
        <v>16</v>
      </c>
      <c r="L418" t="s">
        <v>24</v>
      </c>
      <c r="M418" s="3">
        <v>37</v>
      </c>
      <c r="N418" s="3" t="str" cm="1">
        <f t="array" ref="N418">_xlfn.IFS(M418&gt;59, "Pension Age", M418&gt;44, "Elderly (45+)", M418&gt;29, "Middle Age (30+)", M418&gt;22, "Adult (23+)", M418&gt;15, "Teen/Young Adult (16+)")</f>
        <v>Middle Age (30+)</v>
      </c>
      <c r="O418" s="3" t="s">
        <v>15</v>
      </c>
    </row>
    <row r="419" spans="1:15" x14ac:dyDescent="0.3">
      <c r="A419" s="4">
        <v>11139</v>
      </c>
      <c r="B419" s="3" t="s">
        <v>40</v>
      </c>
      <c r="C419" s="3" t="s">
        <v>41</v>
      </c>
      <c r="D419" s="11">
        <v>30000</v>
      </c>
      <c r="E419" s="9" t="str" cm="1">
        <f t="array" ref="E419">_xlfn.IFS(D419&gt;149000, "Very High", D419&gt;99000, "High", D419&gt;59999, "Average", D419&gt;19999, "Low", D419&gt;0, "Poverty")</f>
        <v>Low</v>
      </c>
      <c r="F419" s="3">
        <v>2</v>
      </c>
      <c r="G419" t="s">
        <v>19</v>
      </c>
      <c r="H419" t="s">
        <v>20</v>
      </c>
      <c r="I419" s="3" t="s">
        <v>18</v>
      </c>
      <c r="J419" s="3">
        <v>2</v>
      </c>
      <c r="K419" t="s">
        <v>23</v>
      </c>
      <c r="L419" t="s">
        <v>24</v>
      </c>
      <c r="M419" s="3">
        <v>67</v>
      </c>
      <c r="N419" s="3" t="str" cm="1">
        <f t="array" ref="N419">_xlfn.IFS(M419&gt;59, "Pension Age", M419&gt;44, "Elderly (45+)", M419&gt;29, "Middle Age (30+)", M419&gt;22, "Adult (23+)", M419&gt;15, "Teen/Young Adult (16+)")</f>
        <v>Pension Age</v>
      </c>
      <c r="O419" s="3" t="s">
        <v>18</v>
      </c>
    </row>
    <row r="420" spans="1:15" x14ac:dyDescent="0.3">
      <c r="A420" s="4">
        <v>11576</v>
      </c>
      <c r="B420" s="3" t="s">
        <v>39</v>
      </c>
      <c r="C420" s="3" t="s">
        <v>42</v>
      </c>
      <c r="D420" s="11">
        <v>30000</v>
      </c>
      <c r="E420" s="9" t="str" cm="1">
        <f t="array" ref="E420">_xlfn.IFS(D420&gt;149000, "Very High", D420&gt;99000, "High", D420&gt;59999, "Average", D420&gt;19999, "Low", D420&gt;0, "Poverty")</f>
        <v>Low</v>
      </c>
      <c r="F420" s="3">
        <v>1</v>
      </c>
      <c r="G420" t="s">
        <v>13</v>
      </c>
      <c r="H420" t="s">
        <v>14</v>
      </c>
      <c r="I420" s="3" t="s">
        <v>15</v>
      </c>
      <c r="J420" s="3">
        <v>2</v>
      </c>
      <c r="K420" t="s">
        <v>16</v>
      </c>
      <c r="L420" t="s">
        <v>17</v>
      </c>
      <c r="M420" s="3">
        <v>41</v>
      </c>
      <c r="N420" s="3" t="str" cm="1">
        <f t="array" ref="N420">_xlfn.IFS(M420&gt;59, "Pension Age", M420&gt;44, "Elderly (45+)", M420&gt;29, "Middle Age (30+)", M420&gt;22, "Adult (23+)", M420&gt;15, "Teen/Young Adult (16+)")</f>
        <v>Middle Age (30+)</v>
      </c>
      <c r="O420" s="3" t="s">
        <v>15</v>
      </c>
    </row>
    <row r="421" spans="1:15" x14ac:dyDescent="0.3">
      <c r="A421" s="4">
        <v>19255</v>
      </c>
      <c r="B421" s="3" t="s">
        <v>40</v>
      </c>
      <c r="C421" s="3" t="s">
        <v>42</v>
      </c>
      <c r="D421" s="11">
        <v>10000</v>
      </c>
      <c r="E421" s="9" t="str" cm="1">
        <f t="array" ref="E421">_xlfn.IFS(D421&gt;149000, "Very High", D421&gt;99000, "High", D421&gt;59999, "Average", D421&gt;19999, "Low", D421&gt;0, "Poverty")</f>
        <v>Poverty</v>
      </c>
      <c r="F421" s="3">
        <v>2</v>
      </c>
      <c r="G421" t="s">
        <v>19</v>
      </c>
      <c r="H421" t="s">
        <v>25</v>
      </c>
      <c r="I421" s="3" t="s">
        <v>15</v>
      </c>
      <c r="J421" s="3">
        <v>1</v>
      </c>
      <c r="K421" t="s">
        <v>16</v>
      </c>
      <c r="L421" t="s">
        <v>17</v>
      </c>
      <c r="M421" s="3">
        <v>51</v>
      </c>
      <c r="N421" s="3" t="str" cm="1">
        <f t="array" ref="N421">_xlfn.IFS(M421&gt;59, "Pension Age", M421&gt;44, "Elderly (45+)", M421&gt;29, "Middle Age (30+)", M421&gt;22, "Adult (23+)", M421&gt;15, "Teen/Young Adult (16+)")</f>
        <v>Elderly (45+)</v>
      </c>
      <c r="O421" s="3" t="s">
        <v>15</v>
      </c>
    </row>
    <row r="422" spans="1:15" x14ac:dyDescent="0.3">
      <c r="A422" s="4">
        <v>18153</v>
      </c>
      <c r="B422" s="3" t="s">
        <v>39</v>
      </c>
      <c r="C422" s="3" t="s">
        <v>41</v>
      </c>
      <c r="D422" s="11">
        <v>100000</v>
      </c>
      <c r="E422" s="9" t="str" cm="1">
        <f t="array" ref="E422">_xlfn.IFS(D422&gt;149000, "Very High", D422&gt;99000, "High", D422&gt;59999, "Average", D422&gt;19999, "Low", D422&gt;0, "Poverty")</f>
        <v>High</v>
      </c>
      <c r="F422" s="3">
        <v>2</v>
      </c>
      <c r="G422" t="s">
        <v>13</v>
      </c>
      <c r="H422" t="s">
        <v>28</v>
      </c>
      <c r="I422" s="3" t="s">
        <v>15</v>
      </c>
      <c r="J422" s="3">
        <v>4</v>
      </c>
      <c r="K422" t="s">
        <v>30</v>
      </c>
      <c r="L422" t="s">
        <v>17</v>
      </c>
      <c r="M422" s="3">
        <v>59</v>
      </c>
      <c r="N422" s="3" t="str" cm="1">
        <f t="array" ref="N422">_xlfn.IFS(M422&gt;59, "Pension Age", M422&gt;44, "Elderly (45+)", M422&gt;29, "Middle Age (30+)", M422&gt;22, "Adult (23+)", M422&gt;15, "Teen/Young Adult (16+)")</f>
        <v>Elderly (45+)</v>
      </c>
      <c r="O422" s="3" t="s">
        <v>18</v>
      </c>
    </row>
    <row r="423" spans="1:15" x14ac:dyDescent="0.3">
      <c r="A423" s="4">
        <v>14547</v>
      </c>
      <c r="B423" s="3" t="s">
        <v>39</v>
      </c>
      <c r="C423" s="3" t="s">
        <v>42</v>
      </c>
      <c r="D423" s="11">
        <v>10000</v>
      </c>
      <c r="E423" s="9" t="str" cm="1">
        <f t="array" ref="E423">_xlfn.IFS(D423&gt;149000, "Very High", D423&gt;99000, "High", D423&gt;59999, "Average", D423&gt;19999, "Low", D423&gt;0, "Poverty")</f>
        <v>Poverty</v>
      </c>
      <c r="F423" s="3">
        <v>2</v>
      </c>
      <c r="G423" t="s">
        <v>19</v>
      </c>
      <c r="H423" t="s">
        <v>25</v>
      </c>
      <c r="I423" s="3" t="s">
        <v>15</v>
      </c>
      <c r="J423" s="3">
        <v>0</v>
      </c>
      <c r="K423" t="s">
        <v>26</v>
      </c>
      <c r="L423" t="s">
        <v>17</v>
      </c>
      <c r="M423" s="3">
        <v>51</v>
      </c>
      <c r="N423" s="3" t="str" cm="1">
        <f t="array" ref="N423">_xlfn.IFS(M423&gt;59, "Pension Age", M423&gt;44, "Elderly (45+)", M423&gt;29, "Middle Age (30+)", M423&gt;22, "Adult (23+)", M423&gt;15, "Teen/Young Adult (16+)")</f>
        <v>Elderly (45+)</v>
      </c>
      <c r="O423" s="3" t="s">
        <v>18</v>
      </c>
    </row>
    <row r="424" spans="1:15" x14ac:dyDescent="0.3">
      <c r="A424" s="4">
        <v>24901</v>
      </c>
      <c r="B424" s="3" t="s">
        <v>40</v>
      </c>
      <c r="C424" s="3" t="s">
        <v>42</v>
      </c>
      <c r="D424" s="11">
        <v>110000</v>
      </c>
      <c r="E424" s="9" t="str" cm="1">
        <f t="array" ref="E424">_xlfn.IFS(D424&gt;149000, "Very High", D424&gt;99000, "High", D424&gt;59999, "Average", D424&gt;19999, "Low", D424&gt;0, "Poverty")</f>
        <v>High</v>
      </c>
      <c r="F424" s="3">
        <v>0</v>
      </c>
      <c r="G424" t="s">
        <v>19</v>
      </c>
      <c r="H424" t="s">
        <v>28</v>
      </c>
      <c r="I424" s="3" t="s">
        <v>18</v>
      </c>
      <c r="J424" s="3">
        <v>3</v>
      </c>
      <c r="K424" t="s">
        <v>30</v>
      </c>
      <c r="L424" t="s">
        <v>24</v>
      </c>
      <c r="M424" s="3">
        <v>32</v>
      </c>
      <c r="N424" s="3" t="str" cm="1">
        <f t="array" ref="N424">_xlfn.IFS(M424&gt;59, "Pension Age", M424&gt;44, "Elderly (45+)", M424&gt;29, "Middle Age (30+)", M424&gt;22, "Adult (23+)", M424&gt;15, "Teen/Young Adult (16+)")</f>
        <v>Middle Age (30+)</v>
      </c>
      <c r="O424" s="3" t="s">
        <v>15</v>
      </c>
    </row>
    <row r="425" spans="1:15" x14ac:dyDescent="0.3">
      <c r="A425" s="4">
        <v>27169</v>
      </c>
      <c r="B425" s="3" t="s">
        <v>40</v>
      </c>
      <c r="C425" s="3" t="s">
        <v>42</v>
      </c>
      <c r="D425" s="11">
        <v>30000</v>
      </c>
      <c r="E425" s="9" t="str" cm="1">
        <f t="array" ref="E425">_xlfn.IFS(D425&gt;149000, "Very High", D425&gt;99000, "High", D425&gt;59999, "Average", D425&gt;19999, "Low", D425&gt;0, "Poverty")</f>
        <v>Low</v>
      </c>
      <c r="F425" s="3">
        <v>0</v>
      </c>
      <c r="G425" t="s">
        <v>27</v>
      </c>
      <c r="H425" t="s">
        <v>25</v>
      </c>
      <c r="I425" s="3" t="s">
        <v>15</v>
      </c>
      <c r="J425" s="3">
        <v>1</v>
      </c>
      <c r="K425" t="s">
        <v>22</v>
      </c>
      <c r="L425" t="s">
        <v>17</v>
      </c>
      <c r="M425" s="3">
        <v>34</v>
      </c>
      <c r="N425" s="3" t="str" cm="1">
        <f t="array" ref="N425">_xlfn.IFS(M425&gt;59, "Pension Age", M425&gt;44, "Elderly (45+)", M425&gt;29, "Middle Age (30+)", M425&gt;22, "Adult (23+)", M425&gt;15, "Teen/Young Adult (16+)")</f>
        <v>Middle Age (30+)</v>
      </c>
      <c r="O425" s="3" t="s">
        <v>15</v>
      </c>
    </row>
    <row r="426" spans="1:15" x14ac:dyDescent="0.3">
      <c r="A426" s="4">
        <v>14805</v>
      </c>
      <c r="B426" s="3" t="s">
        <v>40</v>
      </c>
      <c r="C426" s="3" t="s">
        <v>41</v>
      </c>
      <c r="D426" s="11">
        <v>10000</v>
      </c>
      <c r="E426" s="9" t="str" cm="1">
        <f t="array" ref="E426">_xlfn.IFS(D426&gt;149000, "Very High", D426&gt;99000, "High", D426&gt;59999, "Average", D426&gt;19999, "Low", D426&gt;0, "Poverty")</f>
        <v>Poverty</v>
      </c>
      <c r="F426" s="3">
        <v>3</v>
      </c>
      <c r="G426" t="s">
        <v>29</v>
      </c>
      <c r="H426" t="s">
        <v>25</v>
      </c>
      <c r="I426" s="3" t="s">
        <v>15</v>
      </c>
      <c r="J426" s="3">
        <v>2</v>
      </c>
      <c r="K426" t="s">
        <v>16</v>
      </c>
      <c r="L426" t="s">
        <v>17</v>
      </c>
      <c r="M426" s="3">
        <v>43</v>
      </c>
      <c r="N426" s="3" t="str" cm="1">
        <f t="array" ref="N426">_xlfn.IFS(M426&gt;59, "Pension Age", M426&gt;44, "Elderly (45+)", M426&gt;29, "Middle Age (30+)", M426&gt;22, "Adult (23+)", M426&gt;15, "Teen/Young Adult (16+)")</f>
        <v>Middle Age (30+)</v>
      </c>
      <c r="O426" s="3" t="s">
        <v>18</v>
      </c>
    </row>
    <row r="427" spans="1:15" x14ac:dyDescent="0.3">
      <c r="A427" s="4">
        <v>15822</v>
      </c>
      <c r="B427" s="3" t="s">
        <v>39</v>
      </c>
      <c r="C427" s="3" t="s">
        <v>42</v>
      </c>
      <c r="D427" s="11">
        <v>40000</v>
      </c>
      <c r="E427" s="9" t="str" cm="1">
        <f t="array" ref="E427">_xlfn.IFS(D427&gt;149000, "Very High", D427&gt;99000, "High", D427&gt;59999, "Average", D427&gt;19999, "Low", D427&gt;0, "Poverty")</f>
        <v>Low</v>
      </c>
      <c r="F427" s="3">
        <v>2</v>
      </c>
      <c r="G427" t="s">
        <v>13</v>
      </c>
      <c r="H427" t="s">
        <v>28</v>
      </c>
      <c r="I427" s="3" t="s">
        <v>15</v>
      </c>
      <c r="J427" s="3">
        <v>2</v>
      </c>
      <c r="K427" t="s">
        <v>16</v>
      </c>
      <c r="L427" t="s">
        <v>24</v>
      </c>
      <c r="M427" s="3">
        <v>67</v>
      </c>
      <c r="N427" s="3" t="str" cm="1">
        <f t="array" ref="N427">_xlfn.IFS(M427&gt;59, "Pension Age", M427&gt;44, "Elderly (45+)", M427&gt;29, "Middle Age (30+)", M427&gt;22, "Adult (23+)", M427&gt;15, "Teen/Young Adult (16+)")</f>
        <v>Pension Age</v>
      </c>
      <c r="O427" s="3" t="s">
        <v>18</v>
      </c>
    </row>
    <row r="428" spans="1:15" x14ac:dyDescent="0.3">
      <c r="A428" s="4">
        <v>19389</v>
      </c>
      <c r="B428" s="3" t="s">
        <v>40</v>
      </c>
      <c r="C428" s="3" t="s">
        <v>42</v>
      </c>
      <c r="D428" s="11">
        <v>30000</v>
      </c>
      <c r="E428" s="9" t="str" cm="1">
        <f t="array" ref="E428">_xlfn.IFS(D428&gt;149000, "Very High", D428&gt;99000, "High", D428&gt;59999, "Average", D428&gt;19999, "Low", D428&gt;0, "Poverty")</f>
        <v>Low</v>
      </c>
      <c r="F428" s="3">
        <v>0</v>
      </c>
      <c r="G428" t="s">
        <v>19</v>
      </c>
      <c r="H428" t="s">
        <v>20</v>
      </c>
      <c r="I428" s="3" t="s">
        <v>18</v>
      </c>
      <c r="J428" s="3">
        <v>1</v>
      </c>
      <c r="K428" t="s">
        <v>22</v>
      </c>
      <c r="L428" t="s">
        <v>17</v>
      </c>
      <c r="M428" s="3">
        <v>28</v>
      </c>
      <c r="N428" s="3" t="str" cm="1">
        <f t="array" ref="N428">_xlfn.IFS(M428&gt;59, "Pension Age", M428&gt;44, "Elderly (45+)", M428&gt;29, "Middle Age (30+)", M428&gt;22, "Adult (23+)", M428&gt;15, "Teen/Young Adult (16+)")</f>
        <v>Adult (23+)</v>
      </c>
      <c r="O428" s="3" t="s">
        <v>18</v>
      </c>
    </row>
    <row r="429" spans="1:15" x14ac:dyDescent="0.3">
      <c r="A429" s="4">
        <v>17048</v>
      </c>
      <c r="B429" s="3" t="s">
        <v>40</v>
      </c>
      <c r="C429" s="3" t="s">
        <v>41</v>
      </c>
      <c r="D429" s="11">
        <v>90000</v>
      </c>
      <c r="E429" s="9" t="str" cm="1">
        <f t="array" ref="E429">_xlfn.IFS(D429&gt;149000, "Very High", D429&gt;99000, "High", D429&gt;59999, "Average", D429&gt;19999, "Low", D429&gt;0, "Poverty")</f>
        <v>Average</v>
      </c>
      <c r="F429" s="3">
        <v>1</v>
      </c>
      <c r="G429" t="s">
        <v>31</v>
      </c>
      <c r="H429" t="s">
        <v>28</v>
      </c>
      <c r="I429" s="3" t="s">
        <v>15</v>
      </c>
      <c r="J429" s="3">
        <v>0</v>
      </c>
      <c r="K429" t="s">
        <v>16</v>
      </c>
      <c r="L429" t="s">
        <v>24</v>
      </c>
      <c r="M429" s="3">
        <v>36</v>
      </c>
      <c r="N429" s="3" t="str" cm="1">
        <f t="array" ref="N429">_xlfn.IFS(M429&gt;59, "Pension Age", M429&gt;44, "Elderly (45+)", M429&gt;29, "Middle Age (30+)", M429&gt;22, "Adult (23+)", M429&gt;15, "Teen/Young Adult (16+)")</f>
        <v>Middle Age (30+)</v>
      </c>
      <c r="O429" s="3" t="s">
        <v>15</v>
      </c>
    </row>
    <row r="430" spans="1:15" x14ac:dyDescent="0.3">
      <c r="A430" s="4">
        <v>22204</v>
      </c>
      <c r="B430" s="3" t="s">
        <v>39</v>
      </c>
      <c r="C430" s="3" t="s">
        <v>42</v>
      </c>
      <c r="D430" s="11">
        <v>110000</v>
      </c>
      <c r="E430" s="9" t="str" cm="1">
        <f t="array" ref="E430">_xlfn.IFS(D430&gt;149000, "Very High", D430&gt;99000, "High", D430&gt;59999, "Average", D430&gt;19999, "Low", D430&gt;0, "Poverty")</f>
        <v>High</v>
      </c>
      <c r="F430" s="3">
        <v>4</v>
      </c>
      <c r="G430" t="s">
        <v>13</v>
      </c>
      <c r="H430" t="s">
        <v>28</v>
      </c>
      <c r="I430" s="3" t="s">
        <v>15</v>
      </c>
      <c r="J430" s="3">
        <v>3</v>
      </c>
      <c r="K430" t="s">
        <v>22</v>
      </c>
      <c r="L430" t="s">
        <v>24</v>
      </c>
      <c r="M430" s="3">
        <v>48</v>
      </c>
      <c r="N430" s="3" t="str" cm="1">
        <f t="array" ref="N430">_xlfn.IFS(M430&gt;59, "Pension Age", M430&gt;44, "Elderly (45+)", M430&gt;29, "Middle Age (30+)", M430&gt;22, "Adult (23+)", M430&gt;15, "Teen/Young Adult (16+)")</f>
        <v>Elderly (45+)</v>
      </c>
      <c r="O430" s="3" t="s">
        <v>18</v>
      </c>
    </row>
    <row r="431" spans="1:15" x14ac:dyDescent="0.3">
      <c r="A431" s="4">
        <v>12718</v>
      </c>
      <c r="B431" s="3" t="s">
        <v>40</v>
      </c>
      <c r="C431" s="3" t="s">
        <v>41</v>
      </c>
      <c r="D431" s="11">
        <v>30000</v>
      </c>
      <c r="E431" s="9" t="str" cm="1">
        <f t="array" ref="E431">_xlfn.IFS(D431&gt;149000, "Very High", D431&gt;99000, "High", D431&gt;59999, "Average", D431&gt;19999, "Low", D431&gt;0, "Poverty")</f>
        <v>Low</v>
      </c>
      <c r="F431" s="3">
        <v>0</v>
      </c>
      <c r="G431" t="s">
        <v>19</v>
      </c>
      <c r="H431" t="s">
        <v>20</v>
      </c>
      <c r="I431" s="3" t="s">
        <v>15</v>
      </c>
      <c r="J431" s="3">
        <v>1</v>
      </c>
      <c r="K431" t="s">
        <v>22</v>
      </c>
      <c r="L431" t="s">
        <v>17</v>
      </c>
      <c r="M431" s="3">
        <v>31</v>
      </c>
      <c r="N431" s="3" t="str" cm="1">
        <f t="array" ref="N431">_xlfn.IFS(M431&gt;59, "Pension Age", M431&gt;44, "Elderly (45+)", M431&gt;29, "Middle Age (30+)", M431&gt;22, "Adult (23+)", M431&gt;15, "Teen/Young Adult (16+)")</f>
        <v>Middle Age (30+)</v>
      </c>
      <c r="O431" s="3" t="s">
        <v>18</v>
      </c>
    </row>
    <row r="432" spans="1:15" x14ac:dyDescent="0.3">
      <c r="A432" s="4">
        <v>15019</v>
      </c>
      <c r="B432" s="3" t="s">
        <v>40</v>
      </c>
      <c r="C432" s="3" t="s">
        <v>41</v>
      </c>
      <c r="D432" s="11">
        <v>30000</v>
      </c>
      <c r="E432" s="9" t="str" cm="1">
        <f t="array" ref="E432">_xlfn.IFS(D432&gt;149000, "Very High", D432&gt;99000, "High", D432&gt;59999, "Average", D432&gt;19999, "Low", D432&gt;0, "Poverty")</f>
        <v>Low</v>
      </c>
      <c r="F432" s="3">
        <v>3</v>
      </c>
      <c r="G432" t="s">
        <v>27</v>
      </c>
      <c r="H432" t="s">
        <v>14</v>
      </c>
      <c r="I432" s="3" t="s">
        <v>15</v>
      </c>
      <c r="J432" s="3">
        <v>2</v>
      </c>
      <c r="K432" t="s">
        <v>23</v>
      </c>
      <c r="L432" t="s">
        <v>24</v>
      </c>
      <c r="M432" s="3">
        <v>55</v>
      </c>
      <c r="N432" s="3" t="str" cm="1">
        <f t="array" ref="N432">_xlfn.IFS(M432&gt;59, "Pension Age", M432&gt;44, "Elderly (45+)", M432&gt;29, "Middle Age (30+)", M432&gt;22, "Adult (23+)", M432&gt;15, "Teen/Young Adult (16+)")</f>
        <v>Elderly (45+)</v>
      </c>
      <c r="O432" s="3" t="s">
        <v>18</v>
      </c>
    </row>
    <row r="433" spans="1:15" x14ac:dyDescent="0.3">
      <c r="A433" s="4">
        <v>28488</v>
      </c>
      <c r="B433" s="3" t="s">
        <v>40</v>
      </c>
      <c r="C433" s="3" t="s">
        <v>42</v>
      </c>
      <c r="D433" s="11">
        <v>20000</v>
      </c>
      <c r="E433" s="9" t="str" cm="1">
        <f t="array" ref="E433">_xlfn.IFS(D433&gt;149000, "Very High", D433&gt;99000, "High", D433&gt;59999, "Average", D433&gt;19999, "Low", D433&gt;0, "Poverty")</f>
        <v>Low</v>
      </c>
      <c r="F433" s="3">
        <v>0</v>
      </c>
      <c r="G433" t="s">
        <v>19</v>
      </c>
      <c r="H433" t="s">
        <v>25</v>
      </c>
      <c r="I433" s="3" t="s">
        <v>15</v>
      </c>
      <c r="J433" s="3">
        <v>0</v>
      </c>
      <c r="K433" t="s">
        <v>16</v>
      </c>
      <c r="L433" t="s">
        <v>24</v>
      </c>
      <c r="M433" s="3">
        <v>28</v>
      </c>
      <c r="N433" s="3" t="str" cm="1">
        <f t="array" ref="N433">_xlfn.IFS(M433&gt;59, "Pension Age", M433&gt;44, "Elderly (45+)", M433&gt;29, "Middle Age (30+)", M433&gt;22, "Adult (23+)", M433&gt;15, "Teen/Young Adult (16+)")</f>
        <v>Adult (23+)</v>
      </c>
      <c r="O433" s="3" t="s">
        <v>15</v>
      </c>
    </row>
    <row r="434" spans="1:15" x14ac:dyDescent="0.3">
      <c r="A434" s="4">
        <v>21891</v>
      </c>
      <c r="B434" s="3" t="s">
        <v>39</v>
      </c>
      <c r="C434" s="3" t="s">
        <v>41</v>
      </c>
      <c r="D434" s="11">
        <v>110000</v>
      </c>
      <c r="E434" s="9" t="str" cm="1">
        <f t="array" ref="E434">_xlfn.IFS(D434&gt;149000, "Very High", D434&gt;99000, "High", D434&gt;59999, "Average", D434&gt;19999, "Low", D434&gt;0, "Poverty")</f>
        <v>High</v>
      </c>
      <c r="F434" s="3">
        <v>0</v>
      </c>
      <c r="G434" t="s">
        <v>27</v>
      </c>
      <c r="H434" t="s">
        <v>28</v>
      </c>
      <c r="I434" s="3" t="s">
        <v>15</v>
      </c>
      <c r="J434" s="3">
        <v>3</v>
      </c>
      <c r="K434" t="s">
        <v>30</v>
      </c>
      <c r="L434" t="s">
        <v>24</v>
      </c>
      <c r="M434" s="3">
        <v>34</v>
      </c>
      <c r="N434" s="3" t="str" cm="1">
        <f t="array" ref="N434">_xlfn.IFS(M434&gt;59, "Pension Age", M434&gt;44, "Elderly (45+)", M434&gt;29, "Middle Age (30+)", M434&gt;22, "Adult (23+)", M434&gt;15, "Teen/Young Adult (16+)")</f>
        <v>Middle Age (30+)</v>
      </c>
      <c r="O434" s="3" t="s">
        <v>15</v>
      </c>
    </row>
    <row r="435" spans="1:15" x14ac:dyDescent="0.3">
      <c r="A435" s="4">
        <v>27814</v>
      </c>
      <c r="B435" s="3" t="s">
        <v>40</v>
      </c>
      <c r="C435" s="3" t="s">
        <v>41</v>
      </c>
      <c r="D435" s="11">
        <v>30000</v>
      </c>
      <c r="E435" s="9" t="str" cm="1">
        <f t="array" ref="E435">_xlfn.IFS(D435&gt;149000, "Very High", D435&gt;99000, "High", D435&gt;59999, "Average", D435&gt;19999, "Low", D435&gt;0, "Poverty")</f>
        <v>Low</v>
      </c>
      <c r="F435" s="3">
        <v>3</v>
      </c>
      <c r="G435" t="s">
        <v>19</v>
      </c>
      <c r="H435" t="s">
        <v>20</v>
      </c>
      <c r="I435" s="3" t="s">
        <v>18</v>
      </c>
      <c r="J435" s="3">
        <v>1</v>
      </c>
      <c r="K435" t="s">
        <v>16</v>
      </c>
      <c r="L435" t="s">
        <v>17</v>
      </c>
      <c r="M435" s="3">
        <v>26</v>
      </c>
      <c r="N435" s="3" t="str" cm="1">
        <f t="array" ref="N435">_xlfn.IFS(M435&gt;59, "Pension Age", M435&gt;44, "Elderly (45+)", M435&gt;29, "Middle Age (30+)", M435&gt;22, "Adult (23+)", M435&gt;15, "Teen/Young Adult (16+)")</f>
        <v>Adult (23+)</v>
      </c>
      <c r="O435" s="3" t="s">
        <v>18</v>
      </c>
    </row>
    <row r="436" spans="1:15" x14ac:dyDescent="0.3">
      <c r="A436" s="4">
        <v>22175</v>
      </c>
      <c r="B436" s="3" t="s">
        <v>39</v>
      </c>
      <c r="C436" s="3" t="s">
        <v>41</v>
      </c>
      <c r="D436" s="11">
        <v>30000</v>
      </c>
      <c r="E436" s="9" t="str" cm="1">
        <f t="array" ref="E436">_xlfn.IFS(D436&gt;149000, "Very High", D436&gt;99000, "High", D436&gt;59999, "Average", D436&gt;19999, "Low", D436&gt;0, "Poverty")</f>
        <v>Low</v>
      </c>
      <c r="F436" s="3">
        <v>3</v>
      </c>
      <c r="G436" t="s">
        <v>27</v>
      </c>
      <c r="H436" t="s">
        <v>14</v>
      </c>
      <c r="I436" s="3" t="s">
        <v>15</v>
      </c>
      <c r="J436" s="3">
        <v>2</v>
      </c>
      <c r="K436" t="s">
        <v>23</v>
      </c>
      <c r="L436" t="s">
        <v>24</v>
      </c>
      <c r="M436" s="3">
        <v>53</v>
      </c>
      <c r="N436" s="3" t="str" cm="1">
        <f t="array" ref="N436">_xlfn.IFS(M436&gt;59, "Pension Age", M436&gt;44, "Elderly (45+)", M436&gt;29, "Middle Age (30+)", M436&gt;22, "Adult (23+)", M436&gt;15, "Teen/Young Adult (16+)")</f>
        <v>Elderly (45+)</v>
      </c>
      <c r="O436" s="3" t="s">
        <v>15</v>
      </c>
    </row>
    <row r="437" spans="1:15" x14ac:dyDescent="0.3">
      <c r="A437" s="4">
        <v>29447</v>
      </c>
      <c r="B437" s="3" t="s">
        <v>40</v>
      </c>
      <c r="C437" s="3" t="s">
        <v>41</v>
      </c>
      <c r="D437" s="11">
        <v>10000</v>
      </c>
      <c r="E437" s="9" t="str" cm="1">
        <f t="array" ref="E437">_xlfn.IFS(D437&gt;149000, "Very High", D437&gt;99000, "High", D437&gt;59999, "Average", D437&gt;19999, "Low", D437&gt;0, "Poverty")</f>
        <v>Poverty</v>
      </c>
      <c r="F437" s="3">
        <v>2</v>
      </c>
      <c r="G437" t="s">
        <v>13</v>
      </c>
      <c r="H437" t="s">
        <v>20</v>
      </c>
      <c r="I437" s="3" t="s">
        <v>18</v>
      </c>
      <c r="J437" s="3">
        <v>1</v>
      </c>
      <c r="K437" t="s">
        <v>22</v>
      </c>
      <c r="L437" t="s">
        <v>17</v>
      </c>
      <c r="M437" s="3">
        <v>68</v>
      </c>
      <c r="N437" s="3" t="str" cm="1">
        <f t="array" ref="N437">_xlfn.IFS(M437&gt;59, "Pension Age", M437&gt;44, "Elderly (45+)", M437&gt;29, "Middle Age (30+)", M437&gt;22, "Adult (23+)", M437&gt;15, "Teen/Young Adult (16+)")</f>
        <v>Pension Age</v>
      </c>
      <c r="O437" s="3" t="s">
        <v>18</v>
      </c>
    </row>
    <row r="438" spans="1:15" x14ac:dyDescent="0.3">
      <c r="A438" s="4">
        <v>19784</v>
      </c>
      <c r="B438" s="3" t="s">
        <v>39</v>
      </c>
      <c r="C438" s="3" t="s">
        <v>41</v>
      </c>
      <c r="D438" s="11">
        <v>80000</v>
      </c>
      <c r="E438" s="9" t="str" cm="1">
        <f t="array" ref="E438">_xlfn.IFS(D438&gt;149000, "Very High", D438&gt;99000, "High", D438&gt;59999, "Average", D438&gt;19999, "Low", D438&gt;0, "Poverty")</f>
        <v>Average</v>
      </c>
      <c r="F438" s="3">
        <v>2</v>
      </c>
      <c r="G438" t="s">
        <v>27</v>
      </c>
      <c r="H438" t="s">
        <v>14</v>
      </c>
      <c r="I438" s="3" t="s">
        <v>15</v>
      </c>
      <c r="J438" s="3">
        <v>2</v>
      </c>
      <c r="K438" t="s">
        <v>23</v>
      </c>
      <c r="L438" t="s">
        <v>24</v>
      </c>
      <c r="M438" s="3">
        <v>50</v>
      </c>
      <c r="N438" s="3" t="str" cm="1">
        <f t="array" ref="N438">_xlfn.IFS(M438&gt;59, "Pension Age", M438&gt;44, "Elderly (45+)", M438&gt;29, "Middle Age (30+)", M438&gt;22, "Adult (23+)", M438&gt;15, "Teen/Young Adult (16+)")</f>
        <v>Elderly (45+)</v>
      </c>
      <c r="O438" s="3" t="s">
        <v>15</v>
      </c>
    </row>
    <row r="439" spans="1:15" x14ac:dyDescent="0.3">
      <c r="A439" s="4">
        <v>27824</v>
      </c>
      <c r="B439" s="3" t="s">
        <v>40</v>
      </c>
      <c r="C439" s="3" t="s">
        <v>41</v>
      </c>
      <c r="D439" s="11">
        <v>30000</v>
      </c>
      <c r="E439" s="9" t="str" cm="1">
        <f t="array" ref="E439">_xlfn.IFS(D439&gt;149000, "Very High", D439&gt;99000, "High", D439&gt;59999, "Average", D439&gt;19999, "Low", D439&gt;0, "Poverty")</f>
        <v>Low</v>
      </c>
      <c r="F439" s="3">
        <v>3</v>
      </c>
      <c r="G439" t="s">
        <v>19</v>
      </c>
      <c r="H439" t="s">
        <v>20</v>
      </c>
      <c r="I439" s="3" t="s">
        <v>15</v>
      </c>
      <c r="J439" s="3">
        <v>2</v>
      </c>
      <c r="K439" t="s">
        <v>16</v>
      </c>
      <c r="L439" t="s">
        <v>17</v>
      </c>
      <c r="M439" s="3">
        <v>28</v>
      </c>
      <c r="N439" s="3" t="str" cm="1">
        <f t="array" ref="N439">_xlfn.IFS(M439&gt;59, "Pension Age", M439&gt;44, "Elderly (45+)", M439&gt;29, "Middle Age (30+)", M439&gt;22, "Adult (23+)", M439&gt;15, "Teen/Young Adult (16+)")</f>
        <v>Adult (23+)</v>
      </c>
      <c r="O439" s="3" t="s">
        <v>15</v>
      </c>
    </row>
    <row r="440" spans="1:15" x14ac:dyDescent="0.3">
      <c r="A440" s="4">
        <v>24093</v>
      </c>
      <c r="B440" s="3" t="s">
        <v>40</v>
      </c>
      <c r="C440" s="3" t="s">
        <v>41</v>
      </c>
      <c r="D440" s="11">
        <v>80000</v>
      </c>
      <c r="E440" s="9" t="str" cm="1">
        <f t="array" ref="E440">_xlfn.IFS(D440&gt;149000, "Very High", D440&gt;99000, "High", D440&gt;59999, "Average", D440&gt;19999, "Low", D440&gt;0, "Poverty")</f>
        <v>Average</v>
      </c>
      <c r="F440" s="3">
        <v>0</v>
      </c>
      <c r="G440" t="s">
        <v>31</v>
      </c>
      <c r="H440" t="s">
        <v>14</v>
      </c>
      <c r="I440" s="3" t="s">
        <v>18</v>
      </c>
      <c r="J440" s="3">
        <v>0</v>
      </c>
      <c r="K440" t="s">
        <v>16</v>
      </c>
      <c r="L440" t="s">
        <v>17</v>
      </c>
      <c r="M440" s="3">
        <v>40</v>
      </c>
      <c r="N440" s="3" t="str" cm="1">
        <f t="array" ref="N440">_xlfn.IFS(M440&gt;59, "Pension Age", M440&gt;44, "Elderly (45+)", M440&gt;29, "Middle Age (30+)", M440&gt;22, "Adult (23+)", M440&gt;15, "Teen/Young Adult (16+)")</f>
        <v>Middle Age (30+)</v>
      </c>
      <c r="O440" s="3" t="s">
        <v>15</v>
      </c>
    </row>
    <row r="441" spans="1:15" x14ac:dyDescent="0.3">
      <c r="A441" s="4">
        <v>19618</v>
      </c>
      <c r="B441" s="3" t="s">
        <v>39</v>
      </c>
      <c r="C441" s="3" t="s">
        <v>42</v>
      </c>
      <c r="D441" s="11">
        <v>70000</v>
      </c>
      <c r="E441" s="9" t="str" cm="1">
        <f t="array" ref="E441">_xlfn.IFS(D441&gt;149000, "Very High", D441&gt;99000, "High", D441&gt;59999, "Average", D441&gt;19999, "Low", D441&gt;0, "Poverty")</f>
        <v>Average</v>
      </c>
      <c r="F441" s="3">
        <v>5</v>
      </c>
      <c r="G441" t="s">
        <v>19</v>
      </c>
      <c r="H441" t="s">
        <v>14</v>
      </c>
      <c r="I441" s="3" t="s">
        <v>15</v>
      </c>
      <c r="J441" s="3">
        <v>2</v>
      </c>
      <c r="K441" t="s">
        <v>16</v>
      </c>
      <c r="L441" t="s">
        <v>24</v>
      </c>
      <c r="M441" s="3">
        <v>44</v>
      </c>
      <c r="N441" s="3" t="str" cm="1">
        <f t="array" ref="N441">_xlfn.IFS(M441&gt;59, "Pension Age", M441&gt;44, "Elderly (45+)", M441&gt;29, "Middle Age (30+)", M441&gt;22, "Adult (23+)", M441&gt;15, "Teen/Young Adult (16+)")</f>
        <v>Middle Age (30+)</v>
      </c>
      <c r="O441" s="3" t="s">
        <v>18</v>
      </c>
    </row>
    <row r="442" spans="1:15" x14ac:dyDescent="0.3">
      <c r="A442" s="4">
        <v>21561</v>
      </c>
      <c r="B442" s="3" t="s">
        <v>40</v>
      </c>
      <c r="C442" s="3" t="s">
        <v>42</v>
      </c>
      <c r="D442" s="11">
        <v>90000</v>
      </c>
      <c r="E442" s="9" t="str" cm="1">
        <f t="array" ref="E442">_xlfn.IFS(D442&gt;149000, "Very High", D442&gt;99000, "High", D442&gt;59999, "Average", D442&gt;19999, "Low", D442&gt;0, "Poverty")</f>
        <v>Average</v>
      </c>
      <c r="F442" s="3">
        <v>0</v>
      </c>
      <c r="G442" t="s">
        <v>13</v>
      </c>
      <c r="H442" t="s">
        <v>21</v>
      </c>
      <c r="I442" s="3" t="s">
        <v>18</v>
      </c>
      <c r="J442" s="3">
        <v>3</v>
      </c>
      <c r="K442" t="s">
        <v>30</v>
      </c>
      <c r="L442" t="s">
        <v>24</v>
      </c>
      <c r="M442" s="3">
        <v>34</v>
      </c>
      <c r="N442" s="3" t="str" cm="1">
        <f t="array" ref="N442">_xlfn.IFS(M442&gt;59, "Pension Age", M442&gt;44, "Elderly (45+)", M442&gt;29, "Middle Age (30+)", M442&gt;22, "Adult (23+)", M442&gt;15, "Teen/Young Adult (16+)")</f>
        <v>Middle Age (30+)</v>
      </c>
      <c r="O442" s="3" t="s">
        <v>15</v>
      </c>
    </row>
    <row r="443" spans="1:15" x14ac:dyDescent="0.3">
      <c r="A443" s="4">
        <v>11061</v>
      </c>
      <c r="B443" s="3" t="s">
        <v>39</v>
      </c>
      <c r="C443" s="3" t="s">
        <v>42</v>
      </c>
      <c r="D443" s="11">
        <v>70000</v>
      </c>
      <c r="E443" s="9" t="str" cm="1">
        <f t="array" ref="E443">_xlfn.IFS(D443&gt;149000, "Very High", D443&gt;99000, "High", D443&gt;59999, "Average", D443&gt;19999, "Low", D443&gt;0, "Poverty")</f>
        <v>Average</v>
      </c>
      <c r="F443" s="3">
        <v>2</v>
      </c>
      <c r="G443" t="s">
        <v>19</v>
      </c>
      <c r="H443" t="s">
        <v>14</v>
      </c>
      <c r="I443" s="3" t="s">
        <v>15</v>
      </c>
      <c r="J443" s="3">
        <v>2</v>
      </c>
      <c r="K443" t="s">
        <v>23</v>
      </c>
      <c r="L443" t="s">
        <v>24</v>
      </c>
      <c r="M443" s="3">
        <v>52</v>
      </c>
      <c r="N443" s="3" t="str" cm="1">
        <f t="array" ref="N443">_xlfn.IFS(M443&gt;59, "Pension Age", M443&gt;44, "Elderly (45+)", M443&gt;29, "Middle Age (30+)", M443&gt;22, "Adult (23+)", M443&gt;15, "Teen/Young Adult (16+)")</f>
        <v>Elderly (45+)</v>
      </c>
      <c r="O443" s="3" t="s">
        <v>15</v>
      </c>
    </row>
    <row r="444" spans="1:15" x14ac:dyDescent="0.3">
      <c r="A444" s="4">
        <v>26651</v>
      </c>
      <c r="B444" s="3" t="s">
        <v>40</v>
      </c>
      <c r="C444" s="3" t="s">
        <v>42</v>
      </c>
      <c r="D444" s="11">
        <v>80000</v>
      </c>
      <c r="E444" s="9" t="str" cm="1">
        <f t="array" ref="E444">_xlfn.IFS(D444&gt;149000, "Very High", D444&gt;99000, "High", D444&gt;59999, "Average", D444&gt;19999, "Low", D444&gt;0, "Poverty")</f>
        <v>Average</v>
      </c>
      <c r="F444" s="3">
        <v>4</v>
      </c>
      <c r="G444" t="s">
        <v>31</v>
      </c>
      <c r="H444" t="s">
        <v>28</v>
      </c>
      <c r="I444" s="3" t="s">
        <v>15</v>
      </c>
      <c r="J444" s="3">
        <v>0</v>
      </c>
      <c r="K444" t="s">
        <v>16</v>
      </c>
      <c r="L444" t="s">
        <v>24</v>
      </c>
      <c r="M444" s="3">
        <v>36</v>
      </c>
      <c r="N444" s="3" t="str" cm="1">
        <f t="array" ref="N444">_xlfn.IFS(M444&gt;59, "Pension Age", M444&gt;44, "Elderly (45+)", M444&gt;29, "Middle Age (30+)", M444&gt;22, "Adult (23+)", M444&gt;15, "Teen/Young Adult (16+)")</f>
        <v>Middle Age (30+)</v>
      </c>
      <c r="O444" s="3" t="s">
        <v>15</v>
      </c>
    </row>
    <row r="445" spans="1:15" x14ac:dyDescent="0.3">
      <c r="A445" s="4">
        <v>21108</v>
      </c>
      <c r="B445" s="3" t="s">
        <v>39</v>
      </c>
      <c r="C445" s="3" t="s">
        <v>41</v>
      </c>
      <c r="D445" s="11">
        <v>40000</v>
      </c>
      <c r="E445" s="9" t="str" cm="1">
        <f t="array" ref="E445">_xlfn.IFS(D445&gt;149000, "Very High", D445&gt;99000, "High", D445&gt;59999, "Average", D445&gt;19999, "Low", D445&gt;0, "Poverty")</f>
        <v>Low</v>
      </c>
      <c r="F445" s="3">
        <v>1</v>
      </c>
      <c r="G445" t="s">
        <v>13</v>
      </c>
      <c r="H445" t="s">
        <v>14</v>
      </c>
      <c r="I445" s="3" t="s">
        <v>15</v>
      </c>
      <c r="J445" s="3">
        <v>1</v>
      </c>
      <c r="K445" t="s">
        <v>16</v>
      </c>
      <c r="L445" t="s">
        <v>17</v>
      </c>
      <c r="M445" s="3">
        <v>43</v>
      </c>
      <c r="N445" s="3" t="str" cm="1">
        <f t="array" ref="N445">_xlfn.IFS(M445&gt;59, "Pension Age", M445&gt;44, "Elderly (45+)", M445&gt;29, "Middle Age (30+)", M445&gt;22, "Adult (23+)", M445&gt;15, "Teen/Young Adult (16+)")</f>
        <v>Middle Age (30+)</v>
      </c>
      <c r="O445" s="3" t="s">
        <v>15</v>
      </c>
    </row>
    <row r="446" spans="1:15" x14ac:dyDescent="0.3">
      <c r="A446" s="4">
        <v>12731</v>
      </c>
      <c r="B446" s="3" t="s">
        <v>40</v>
      </c>
      <c r="C446" s="3" t="s">
        <v>42</v>
      </c>
      <c r="D446" s="11">
        <v>30000</v>
      </c>
      <c r="E446" s="9" t="str" cm="1">
        <f t="array" ref="E446">_xlfn.IFS(D446&gt;149000, "Very High", D446&gt;99000, "High", D446&gt;59999, "Average", D446&gt;19999, "Low", D446&gt;0, "Poverty")</f>
        <v>Low</v>
      </c>
      <c r="F446" s="3">
        <v>0</v>
      </c>
      <c r="G446" t="s">
        <v>27</v>
      </c>
      <c r="H446" t="s">
        <v>25</v>
      </c>
      <c r="I446" s="3" t="s">
        <v>18</v>
      </c>
      <c r="J446" s="3">
        <v>1</v>
      </c>
      <c r="K446" t="s">
        <v>26</v>
      </c>
      <c r="L446" t="s">
        <v>17</v>
      </c>
      <c r="M446" s="3">
        <v>32</v>
      </c>
      <c r="N446" s="3" t="str" cm="1">
        <f t="array" ref="N446">_xlfn.IFS(M446&gt;59, "Pension Age", M446&gt;44, "Elderly (45+)", M446&gt;29, "Middle Age (30+)", M446&gt;22, "Adult (23+)", M446&gt;15, "Teen/Young Adult (16+)")</f>
        <v>Middle Age (30+)</v>
      </c>
      <c r="O446" s="3" t="s">
        <v>18</v>
      </c>
    </row>
    <row r="447" spans="1:15" x14ac:dyDescent="0.3">
      <c r="A447" s="4">
        <v>25307</v>
      </c>
      <c r="B447" s="3" t="s">
        <v>39</v>
      </c>
      <c r="C447" s="3" t="s">
        <v>41</v>
      </c>
      <c r="D447" s="11">
        <v>40000</v>
      </c>
      <c r="E447" s="9" t="str" cm="1">
        <f t="array" ref="E447">_xlfn.IFS(D447&gt;149000, "Very High", D447&gt;99000, "High", D447&gt;59999, "Average", D447&gt;19999, "Low", D447&gt;0, "Poverty")</f>
        <v>Low</v>
      </c>
      <c r="F447" s="3">
        <v>1</v>
      </c>
      <c r="G447" t="s">
        <v>13</v>
      </c>
      <c r="H447" t="s">
        <v>14</v>
      </c>
      <c r="I447" s="3" t="s">
        <v>15</v>
      </c>
      <c r="J447" s="3">
        <v>1</v>
      </c>
      <c r="K447" t="s">
        <v>26</v>
      </c>
      <c r="L447" t="s">
        <v>17</v>
      </c>
      <c r="M447" s="3">
        <v>32</v>
      </c>
      <c r="N447" s="3" t="str" cm="1">
        <f t="array" ref="N447">_xlfn.IFS(M447&gt;59, "Pension Age", M447&gt;44, "Elderly (45+)", M447&gt;29, "Middle Age (30+)", M447&gt;22, "Adult (23+)", M447&gt;15, "Teen/Young Adult (16+)")</f>
        <v>Middle Age (30+)</v>
      </c>
      <c r="O447" s="3" t="s">
        <v>15</v>
      </c>
    </row>
    <row r="448" spans="1:15" x14ac:dyDescent="0.3">
      <c r="A448" s="4">
        <v>14278</v>
      </c>
      <c r="B448" s="3" t="s">
        <v>39</v>
      </c>
      <c r="C448" s="3" t="s">
        <v>41</v>
      </c>
      <c r="D448" s="11">
        <v>130000</v>
      </c>
      <c r="E448" s="9" t="str" cm="1">
        <f t="array" ref="E448">_xlfn.IFS(D448&gt;149000, "Very High", D448&gt;99000, "High", D448&gt;59999, "Average", D448&gt;19999, "Low", D448&gt;0, "Poverty")</f>
        <v>High</v>
      </c>
      <c r="F448" s="3">
        <v>0</v>
      </c>
      <c r="G448" t="s">
        <v>31</v>
      </c>
      <c r="H448" t="s">
        <v>28</v>
      </c>
      <c r="I448" s="3" t="s">
        <v>15</v>
      </c>
      <c r="J448" s="3">
        <v>1</v>
      </c>
      <c r="K448" t="s">
        <v>30</v>
      </c>
      <c r="L448" t="s">
        <v>24</v>
      </c>
      <c r="M448" s="3">
        <v>48</v>
      </c>
      <c r="N448" s="3" t="str" cm="1">
        <f t="array" ref="N448">_xlfn.IFS(M448&gt;59, "Pension Age", M448&gt;44, "Elderly (45+)", M448&gt;29, "Middle Age (30+)", M448&gt;22, "Adult (23+)", M448&gt;15, "Teen/Young Adult (16+)")</f>
        <v>Elderly (45+)</v>
      </c>
      <c r="O448" s="3" t="s">
        <v>18</v>
      </c>
    </row>
    <row r="449" spans="1:15" x14ac:dyDescent="0.3">
      <c r="A449" s="4">
        <v>20711</v>
      </c>
      <c r="B449" s="3" t="s">
        <v>39</v>
      </c>
      <c r="C449" s="3" t="s">
        <v>41</v>
      </c>
      <c r="D449" s="11">
        <v>40000</v>
      </c>
      <c r="E449" s="9" t="str" cm="1">
        <f t="array" ref="E449">_xlfn.IFS(D449&gt;149000, "Very High", D449&gt;99000, "High", D449&gt;59999, "Average", D449&gt;19999, "Low", D449&gt;0, "Poverty")</f>
        <v>Low</v>
      </c>
      <c r="F449" s="3">
        <v>1</v>
      </c>
      <c r="G449" t="s">
        <v>13</v>
      </c>
      <c r="H449" t="s">
        <v>14</v>
      </c>
      <c r="I449" s="3" t="s">
        <v>15</v>
      </c>
      <c r="J449" s="3">
        <v>0</v>
      </c>
      <c r="K449" t="s">
        <v>26</v>
      </c>
      <c r="L449" t="s">
        <v>17</v>
      </c>
      <c r="M449" s="3">
        <v>32</v>
      </c>
      <c r="N449" s="3" t="str" cm="1">
        <f t="array" ref="N449">_xlfn.IFS(M449&gt;59, "Pension Age", M449&gt;44, "Elderly (45+)", M449&gt;29, "Middle Age (30+)", M449&gt;22, "Adult (23+)", M449&gt;15, "Teen/Young Adult (16+)")</f>
        <v>Middle Age (30+)</v>
      </c>
      <c r="O449" s="3" t="s">
        <v>15</v>
      </c>
    </row>
    <row r="450" spans="1:15" x14ac:dyDescent="0.3">
      <c r="A450" s="4">
        <v>11383</v>
      </c>
      <c r="B450" s="3" t="s">
        <v>39</v>
      </c>
      <c r="C450" s="3" t="s">
        <v>41</v>
      </c>
      <c r="D450" s="11">
        <v>30000</v>
      </c>
      <c r="E450" s="9" t="str" cm="1">
        <f t="array" ref="E450">_xlfn.IFS(D450&gt;149000, "Very High", D450&gt;99000, "High", D450&gt;59999, "Average", D450&gt;19999, "Low", D450&gt;0, "Poverty")</f>
        <v>Low</v>
      </c>
      <c r="F450" s="3">
        <v>3</v>
      </c>
      <c r="G450" t="s">
        <v>31</v>
      </c>
      <c r="H450" t="s">
        <v>20</v>
      </c>
      <c r="I450" s="3" t="s">
        <v>15</v>
      </c>
      <c r="J450" s="3">
        <v>0</v>
      </c>
      <c r="K450" t="s">
        <v>16</v>
      </c>
      <c r="L450" t="s">
        <v>17</v>
      </c>
      <c r="M450" s="3">
        <v>46</v>
      </c>
      <c r="N450" s="3" t="str" cm="1">
        <f t="array" ref="N450">_xlfn.IFS(M450&gt;59, "Pension Age", M450&gt;44, "Elderly (45+)", M450&gt;29, "Middle Age (30+)", M450&gt;22, "Adult (23+)", M450&gt;15, "Teen/Young Adult (16+)")</f>
        <v>Elderly (45+)</v>
      </c>
      <c r="O450" s="3" t="s">
        <v>18</v>
      </c>
    </row>
    <row r="451" spans="1:15" x14ac:dyDescent="0.3">
      <c r="A451" s="4">
        <v>12497</v>
      </c>
      <c r="B451" s="3" t="s">
        <v>39</v>
      </c>
      <c r="C451" s="3" t="s">
        <v>41</v>
      </c>
      <c r="D451" s="11">
        <v>40000</v>
      </c>
      <c r="E451" s="9" t="str" cm="1">
        <f t="array" ref="E451">_xlfn.IFS(D451&gt;149000, "Very High", D451&gt;99000, "High", D451&gt;59999, "Average", D451&gt;19999, "Low", D451&gt;0, "Poverty")</f>
        <v>Low</v>
      </c>
      <c r="F451" s="3">
        <v>1</v>
      </c>
      <c r="G451" t="s">
        <v>13</v>
      </c>
      <c r="H451" t="s">
        <v>14</v>
      </c>
      <c r="I451" s="3" t="s">
        <v>15</v>
      </c>
      <c r="J451" s="3">
        <v>0</v>
      </c>
      <c r="K451" t="s">
        <v>16</v>
      </c>
      <c r="L451" t="s">
        <v>17</v>
      </c>
      <c r="M451" s="3">
        <v>42</v>
      </c>
      <c r="N451" s="3" t="str" cm="1">
        <f t="array" ref="N451">_xlfn.IFS(M451&gt;59, "Pension Age", M451&gt;44, "Elderly (45+)", M451&gt;29, "Middle Age (30+)", M451&gt;22, "Adult (23+)", M451&gt;15, "Teen/Young Adult (16+)")</f>
        <v>Middle Age (30+)</v>
      </c>
      <c r="O451" s="3" t="s">
        <v>18</v>
      </c>
    </row>
    <row r="452" spans="1:15" x14ac:dyDescent="0.3">
      <c r="A452" s="4">
        <v>16559</v>
      </c>
      <c r="B452" s="3" t="s">
        <v>40</v>
      </c>
      <c r="C452" s="3" t="s">
        <v>41</v>
      </c>
      <c r="D452" s="11">
        <v>10000</v>
      </c>
      <c r="E452" s="9" t="str" cm="1">
        <f t="array" ref="E452">_xlfn.IFS(D452&gt;149000, "Very High", D452&gt;99000, "High", D452&gt;59999, "Average", D452&gt;19999, "Low", D452&gt;0, "Poverty")</f>
        <v>Poverty</v>
      </c>
      <c r="F452" s="3">
        <v>2</v>
      </c>
      <c r="G452" t="s">
        <v>27</v>
      </c>
      <c r="H452" t="s">
        <v>25</v>
      </c>
      <c r="I452" s="3" t="s">
        <v>15</v>
      </c>
      <c r="J452" s="3">
        <v>0</v>
      </c>
      <c r="K452" t="s">
        <v>16</v>
      </c>
      <c r="L452" t="s">
        <v>17</v>
      </c>
      <c r="M452" s="3">
        <v>36</v>
      </c>
      <c r="N452" s="3" t="str" cm="1">
        <f t="array" ref="N452">_xlfn.IFS(M452&gt;59, "Pension Age", M452&gt;44, "Elderly (45+)", M452&gt;29, "Middle Age (30+)", M452&gt;22, "Adult (23+)", M452&gt;15, "Teen/Young Adult (16+)")</f>
        <v>Middle Age (30+)</v>
      </c>
      <c r="O452" s="3" t="s">
        <v>15</v>
      </c>
    </row>
    <row r="453" spans="1:15" x14ac:dyDescent="0.3">
      <c r="A453" s="4">
        <v>11585</v>
      </c>
      <c r="B453" s="3" t="s">
        <v>39</v>
      </c>
      <c r="C453" s="3" t="s">
        <v>41</v>
      </c>
      <c r="D453" s="11">
        <v>40000</v>
      </c>
      <c r="E453" s="9" t="str" cm="1">
        <f t="array" ref="E453">_xlfn.IFS(D453&gt;149000, "Very High", D453&gt;99000, "High", D453&gt;59999, "Average", D453&gt;19999, "Low", D453&gt;0, "Poverty")</f>
        <v>Low</v>
      </c>
      <c r="F453" s="3">
        <v>1</v>
      </c>
      <c r="G453" t="s">
        <v>13</v>
      </c>
      <c r="H453" t="s">
        <v>14</v>
      </c>
      <c r="I453" s="3" t="s">
        <v>15</v>
      </c>
      <c r="J453" s="3">
        <v>0</v>
      </c>
      <c r="K453" t="s">
        <v>16</v>
      </c>
      <c r="L453" t="s">
        <v>17</v>
      </c>
      <c r="M453" s="3">
        <v>41</v>
      </c>
      <c r="N453" s="3" t="str" cm="1">
        <f t="array" ref="N453">_xlfn.IFS(M453&gt;59, "Pension Age", M453&gt;44, "Elderly (45+)", M453&gt;29, "Middle Age (30+)", M453&gt;22, "Adult (23+)", M453&gt;15, "Teen/Young Adult (16+)")</f>
        <v>Middle Age (30+)</v>
      </c>
      <c r="O453" s="3" t="s">
        <v>18</v>
      </c>
    </row>
    <row r="454" spans="1:15" x14ac:dyDescent="0.3">
      <c r="A454" s="4">
        <v>20277</v>
      </c>
      <c r="B454" s="3" t="s">
        <v>39</v>
      </c>
      <c r="C454" s="3" t="s">
        <v>41</v>
      </c>
      <c r="D454" s="11">
        <v>30000</v>
      </c>
      <c r="E454" s="9" t="str" cm="1">
        <f t="array" ref="E454">_xlfn.IFS(D454&gt;149000, "Very High", D454&gt;99000, "High", D454&gt;59999, "Average", D454&gt;19999, "Low", D454&gt;0, "Poverty")</f>
        <v>Low</v>
      </c>
      <c r="F454" s="3">
        <v>2</v>
      </c>
      <c r="G454" t="s">
        <v>19</v>
      </c>
      <c r="H454" t="s">
        <v>20</v>
      </c>
      <c r="I454" s="3" t="s">
        <v>18</v>
      </c>
      <c r="J454" s="3">
        <v>2</v>
      </c>
      <c r="K454" t="s">
        <v>16</v>
      </c>
      <c r="L454" t="s">
        <v>24</v>
      </c>
      <c r="M454" s="3">
        <v>69</v>
      </c>
      <c r="N454" s="3" t="str" cm="1">
        <f t="array" ref="N454">_xlfn.IFS(M454&gt;59, "Pension Age", M454&gt;44, "Elderly (45+)", M454&gt;29, "Middle Age (30+)", M454&gt;22, "Adult (23+)", M454&gt;15, "Teen/Young Adult (16+)")</f>
        <v>Pension Age</v>
      </c>
      <c r="O454" s="3" t="s">
        <v>18</v>
      </c>
    </row>
    <row r="455" spans="1:15" x14ac:dyDescent="0.3">
      <c r="A455" s="4">
        <v>26765</v>
      </c>
      <c r="B455" s="3" t="s">
        <v>40</v>
      </c>
      <c r="C455" s="3" t="s">
        <v>41</v>
      </c>
      <c r="D455" s="11">
        <v>70000</v>
      </c>
      <c r="E455" s="9" t="str" cm="1">
        <f t="array" ref="E455">_xlfn.IFS(D455&gt;149000, "Very High", D455&gt;99000, "High", D455&gt;59999, "Average", D455&gt;19999, "Low", D455&gt;0, "Poverty")</f>
        <v>Average</v>
      </c>
      <c r="F455" s="3">
        <v>5</v>
      </c>
      <c r="G455" t="s">
        <v>19</v>
      </c>
      <c r="H455" t="s">
        <v>14</v>
      </c>
      <c r="I455" s="3" t="s">
        <v>15</v>
      </c>
      <c r="J455" s="3">
        <v>2</v>
      </c>
      <c r="K455" t="s">
        <v>23</v>
      </c>
      <c r="L455" t="s">
        <v>24</v>
      </c>
      <c r="M455" s="3">
        <v>45</v>
      </c>
      <c r="N455" s="3" t="str" cm="1">
        <f t="array" ref="N455">_xlfn.IFS(M455&gt;59, "Pension Age", M455&gt;44, "Elderly (45+)", M455&gt;29, "Middle Age (30+)", M455&gt;22, "Adult (23+)", M455&gt;15, "Teen/Young Adult (16+)")</f>
        <v>Elderly (45+)</v>
      </c>
      <c r="O455" s="3" t="s">
        <v>18</v>
      </c>
    </row>
    <row r="456" spans="1:15" x14ac:dyDescent="0.3">
      <c r="A456" s="4">
        <v>12389</v>
      </c>
      <c r="B456" s="3" t="s">
        <v>40</v>
      </c>
      <c r="C456" s="3" t="s">
        <v>42</v>
      </c>
      <c r="D456" s="11">
        <v>30000</v>
      </c>
      <c r="E456" s="9" t="str" cm="1">
        <f t="array" ref="E456">_xlfn.IFS(D456&gt;149000, "Very High", D456&gt;99000, "High", D456&gt;59999, "Average", D456&gt;19999, "Low", D456&gt;0, "Poverty")</f>
        <v>Low</v>
      </c>
      <c r="F456" s="3">
        <v>0</v>
      </c>
      <c r="G456" t="s">
        <v>27</v>
      </c>
      <c r="H456" t="s">
        <v>25</v>
      </c>
      <c r="I456" s="3" t="s">
        <v>18</v>
      </c>
      <c r="J456" s="3">
        <v>1</v>
      </c>
      <c r="K456" t="s">
        <v>22</v>
      </c>
      <c r="L456" t="s">
        <v>17</v>
      </c>
      <c r="M456" s="3">
        <v>34</v>
      </c>
      <c r="N456" s="3" t="str" cm="1">
        <f t="array" ref="N456">_xlfn.IFS(M456&gt;59, "Pension Age", M456&gt;44, "Elderly (45+)", M456&gt;29, "Middle Age (30+)", M456&gt;22, "Adult (23+)", M456&gt;15, "Teen/Young Adult (16+)")</f>
        <v>Middle Age (30+)</v>
      </c>
      <c r="O456" s="3" t="s">
        <v>18</v>
      </c>
    </row>
    <row r="457" spans="1:15" x14ac:dyDescent="0.3">
      <c r="A457" s="4">
        <v>13585</v>
      </c>
      <c r="B457" s="3" t="s">
        <v>39</v>
      </c>
      <c r="C457" s="3" t="s">
        <v>41</v>
      </c>
      <c r="D457" s="11">
        <v>80000</v>
      </c>
      <c r="E457" s="9" t="str" cm="1">
        <f t="array" ref="E457">_xlfn.IFS(D457&gt;149000, "Very High", D457&gt;99000, "High", D457&gt;59999, "Average", D457&gt;19999, "Low", D457&gt;0, "Poverty")</f>
        <v>Average</v>
      </c>
      <c r="F457" s="3">
        <v>4</v>
      </c>
      <c r="G457" t="s">
        <v>19</v>
      </c>
      <c r="H457" t="s">
        <v>21</v>
      </c>
      <c r="I457" s="3" t="s">
        <v>18</v>
      </c>
      <c r="J457" s="3">
        <v>1</v>
      </c>
      <c r="K457" t="s">
        <v>22</v>
      </c>
      <c r="L457" t="s">
        <v>17</v>
      </c>
      <c r="M457" s="3">
        <v>53</v>
      </c>
      <c r="N457" s="3" t="str" cm="1">
        <f t="array" ref="N457">_xlfn.IFS(M457&gt;59, "Pension Age", M457&gt;44, "Elderly (45+)", M457&gt;29, "Middle Age (30+)", M457&gt;22, "Adult (23+)", M457&gt;15, "Teen/Young Adult (16+)")</f>
        <v>Elderly (45+)</v>
      </c>
      <c r="O457" s="3" t="s">
        <v>15</v>
      </c>
    </row>
    <row r="458" spans="1:15" x14ac:dyDescent="0.3">
      <c r="A458" s="4">
        <v>26385</v>
      </c>
      <c r="B458" s="3" t="s">
        <v>40</v>
      </c>
      <c r="C458" s="3" t="s">
        <v>42</v>
      </c>
      <c r="D458" s="11">
        <v>120000</v>
      </c>
      <c r="E458" s="9" t="str" cm="1">
        <f t="array" ref="E458">_xlfn.IFS(D458&gt;149000, "Very High", D458&gt;99000, "High", D458&gt;59999, "Average", D458&gt;19999, "Low", D458&gt;0, "Poverty")</f>
        <v>High</v>
      </c>
      <c r="F458" s="3">
        <v>3</v>
      </c>
      <c r="G458" t="s">
        <v>27</v>
      </c>
      <c r="H458" t="s">
        <v>21</v>
      </c>
      <c r="I458" s="3" t="s">
        <v>18</v>
      </c>
      <c r="J458" s="3">
        <v>4</v>
      </c>
      <c r="K458" t="s">
        <v>23</v>
      </c>
      <c r="L458" t="s">
        <v>17</v>
      </c>
      <c r="M458" s="3">
        <v>50</v>
      </c>
      <c r="N458" s="3" t="str" cm="1">
        <f t="array" ref="N458">_xlfn.IFS(M458&gt;59, "Pension Age", M458&gt;44, "Elderly (45+)", M458&gt;29, "Middle Age (30+)", M458&gt;22, "Adult (23+)", M458&gt;15, "Teen/Young Adult (16+)")</f>
        <v>Elderly (45+)</v>
      </c>
      <c r="O458" s="3" t="s">
        <v>18</v>
      </c>
    </row>
    <row r="459" spans="1:15" x14ac:dyDescent="0.3">
      <c r="A459" s="4">
        <v>12236</v>
      </c>
      <c r="B459" s="3" t="s">
        <v>39</v>
      </c>
      <c r="C459" s="3" t="s">
        <v>41</v>
      </c>
      <c r="D459" s="11">
        <v>20000</v>
      </c>
      <c r="E459" s="9" t="str" cm="1">
        <f t="array" ref="E459">_xlfn.IFS(D459&gt;149000, "Very High", D459&gt;99000, "High", D459&gt;59999, "Average", D459&gt;19999, "Low", D459&gt;0, "Poverty")</f>
        <v>Low</v>
      </c>
      <c r="F459" s="3">
        <v>1</v>
      </c>
      <c r="G459" t="s">
        <v>19</v>
      </c>
      <c r="H459" t="s">
        <v>25</v>
      </c>
      <c r="I459" s="3" t="s">
        <v>15</v>
      </c>
      <c r="J459" s="3">
        <v>0</v>
      </c>
      <c r="K459" t="s">
        <v>16</v>
      </c>
      <c r="L459" t="s">
        <v>17</v>
      </c>
      <c r="M459" s="3">
        <v>65</v>
      </c>
      <c r="N459" s="3" t="str" cm="1">
        <f t="array" ref="N459">_xlfn.IFS(M459&gt;59, "Pension Age", M459&gt;44, "Elderly (45+)", M459&gt;29, "Middle Age (30+)", M459&gt;22, "Adult (23+)", M459&gt;15, "Teen/Young Adult (16+)")</f>
        <v>Pension Age</v>
      </c>
      <c r="O459" s="3" t="s">
        <v>18</v>
      </c>
    </row>
    <row r="460" spans="1:15" x14ac:dyDescent="0.3">
      <c r="A460" s="4">
        <v>21560</v>
      </c>
      <c r="B460" s="3" t="s">
        <v>39</v>
      </c>
      <c r="C460" s="3" t="s">
        <v>42</v>
      </c>
      <c r="D460" s="11">
        <v>120000</v>
      </c>
      <c r="E460" s="9" t="str" cm="1">
        <f t="array" ref="E460">_xlfn.IFS(D460&gt;149000, "Very High", D460&gt;99000, "High", D460&gt;59999, "Average", D460&gt;19999, "Low", D460&gt;0, "Poverty")</f>
        <v>High</v>
      </c>
      <c r="F460" s="3">
        <v>0</v>
      </c>
      <c r="G460" t="s">
        <v>29</v>
      </c>
      <c r="H460" t="s">
        <v>21</v>
      </c>
      <c r="I460" s="3" t="s">
        <v>15</v>
      </c>
      <c r="J460" s="3">
        <v>4</v>
      </c>
      <c r="K460" t="s">
        <v>30</v>
      </c>
      <c r="L460" t="s">
        <v>24</v>
      </c>
      <c r="M460" s="3">
        <v>32</v>
      </c>
      <c r="N460" s="3" t="str" cm="1">
        <f t="array" ref="N460">_xlfn.IFS(M460&gt;59, "Pension Age", M460&gt;44, "Elderly (45+)", M460&gt;29, "Middle Age (30+)", M460&gt;22, "Adult (23+)", M460&gt;15, "Teen/Young Adult (16+)")</f>
        <v>Middle Age (30+)</v>
      </c>
      <c r="O460" s="3" t="s">
        <v>15</v>
      </c>
    </row>
    <row r="461" spans="1:15" x14ac:dyDescent="0.3">
      <c r="A461" s="4">
        <v>21554</v>
      </c>
      <c r="B461" s="3" t="s">
        <v>40</v>
      </c>
      <c r="C461" s="3" t="s">
        <v>41</v>
      </c>
      <c r="D461" s="11">
        <v>80000</v>
      </c>
      <c r="E461" s="9" t="str" cm="1">
        <f t="array" ref="E461">_xlfn.IFS(D461&gt;149000, "Very High", D461&gt;99000, "High", D461&gt;59999, "Average", D461&gt;19999, "Low", D461&gt;0, "Poverty")</f>
        <v>Average</v>
      </c>
      <c r="F461" s="3">
        <v>0</v>
      </c>
      <c r="G461" t="s">
        <v>13</v>
      </c>
      <c r="H461" t="s">
        <v>21</v>
      </c>
      <c r="I461" s="3" t="s">
        <v>18</v>
      </c>
      <c r="J461" s="3">
        <v>3</v>
      </c>
      <c r="K461" t="s">
        <v>30</v>
      </c>
      <c r="L461" t="s">
        <v>24</v>
      </c>
      <c r="M461" s="3">
        <v>33</v>
      </c>
      <c r="N461" s="3" t="str" cm="1">
        <f t="array" ref="N461">_xlfn.IFS(M461&gt;59, "Pension Age", M461&gt;44, "Elderly (45+)", M461&gt;29, "Middle Age (30+)", M461&gt;22, "Adult (23+)", M461&gt;15, "Teen/Young Adult (16+)")</f>
        <v>Middle Age (30+)</v>
      </c>
      <c r="O461" s="3" t="s">
        <v>18</v>
      </c>
    </row>
    <row r="462" spans="1:15" x14ac:dyDescent="0.3">
      <c r="A462" s="4">
        <v>13662</v>
      </c>
      <c r="B462" s="3" t="s">
        <v>40</v>
      </c>
      <c r="C462" s="3" t="s">
        <v>42</v>
      </c>
      <c r="D462" s="11">
        <v>20000</v>
      </c>
      <c r="E462" s="9" t="str" cm="1">
        <f t="array" ref="E462">_xlfn.IFS(D462&gt;149000, "Very High", D462&gt;99000, "High", D462&gt;59999, "Average", D462&gt;19999, "Low", D462&gt;0, "Poverty")</f>
        <v>Low</v>
      </c>
      <c r="F462" s="3">
        <v>0</v>
      </c>
      <c r="G462" t="s">
        <v>29</v>
      </c>
      <c r="H462" t="s">
        <v>25</v>
      </c>
      <c r="I462" s="3" t="s">
        <v>15</v>
      </c>
      <c r="J462" s="3">
        <v>2</v>
      </c>
      <c r="K462" t="s">
        <v>26</v>
      </c>
      <c r="L462" t="s">
        <v>17</v>
      </c>
      <c r="M462" s="3">
        <v>31</v>
      </c>
      <c r="N462" s="3" t="str" cm="1">
        <f t="array" ref="N462">_xlfn.IFS(M462&gt;59, "Pension Age", M462&gt;44, "Elderly (45+)", M462&gt;29, "Middle Age (30+)", M462&gt;22, "Adult (23+)", M462&gt;15, "Teen/Young Adult (16+)")</f>
        <v>Middle Age (30+)</v>
      </c>
      <c r="O462" s="3" t="s">
        <v>15</v>
      </c>
    </row>
    <row r="463" spans="1:15" x14ac:dyDescent="0.3">
      <c r="A463" s="4">
        <v>13089</v>
      </c>
      <c r="B463" s="3" t="s">
        <v>39</v>
      </c>
      <c r="C463" s="3" t="s">
        <v>41</v>
      </c>
      <c r="D463" s="11">
        <v>120000</v>
      </c>
      <c r="E463" s="9" t="str" cm="1">
        <f t="array" ref="E463">_xlfn.IFS(D463&gt;149000, "Very High", D463&gt;99000, "High", D463&gt;59999, "Average", D463&gt;19999, "Low", D463&gt;0, "Poverty")</f>
        <v>High</v>
      </c>
      <c r="F463" s="3">
        <v>1</v>
      </c>
      <c r="G463" t="s">
        <v>13</v>
      </c>
      <c r="H463" t="s">
        <v>28</v>
      </c>
      <c r="I463" s="3" t="s">
        <v>15</v>
      </c>
      <c r="J463" s="3">
        <v>2</v>
      </c>
      <c r="K463" t="s">
        <v>16</v>
      </c>
      <c r="L463" t="s">
        <v>24</v>
      </c>
      <c r="M463" s="3">
        <v>46</v>
      </c>
      <c r="N463" s="3" t="str" cm="1">
        <f t="array" ref="N463">_xlfn.IFS(M463&gt;59, "Pension Age", M463&gt;44, "Elderly (45+)", M463&gt;29, "Middle Age (30+)", M463&gt;22, "Adult (23+)", M463&gt;15, "Teen/Young Adult (16+)")</f>
        <v>Elderly (45+)</v>
      </c>
      <c r="O463" s="3" t="s">
        <v>15</v>
      </c>
    </row>
    <row r="464" spans="1:15" x14ac:dyDescent="0.3">
      <c r="A464" s="4">
        <v>14791</v>
      </c>
      <c r="B464" s="3" t="s">
        <v>39</v>
      </c>
      <c r="C464" s="3" t="s">
        <v>41</v>
      </c>
      <c r="D464" s="11">
        <v>40000</v>
      </c>
      <c r="E464" s="9" t="str" cm="1">
        <f t="array" ref="E464">_xlfn.IFS(D464&gt;149000, "Very High", D464&gt;99000, "High", D464&gt;59999, "Average", D464&gt;19999, "Low", D464&gt;0, "Poverty")</f>
        <v>Low</v>
      </c>
      <c r="F464" s="3">
        <v>0</v>
      </c>
      <c r="G464" t="s">
        <v>13</v>
      </c>
      <c r="H464" t="s">
        <v>20</v>
      </c>
      <c r="I464" s="3" t="s">
        <v>15</v>
      </c>
      <c r="J464" s="3">
        <v>0</v>
      </c>
      <c r="K464" t="s">
        <v>16</v>
      </c>
      <c r="L464" t="s">
        <v>17</v>
      </c>
      <c r="M464" s="3">
        <v>39</v>
      </c>
      <c r="N464" s="3" t="str" cm="1">
        <f t="array" ref="N464">_xlfn.IFS(M464&gt;59, "Pension Age", M464&gt;44, "Elderly (45+)", M464&gt;29, "Middle Age (30+)", M464&gt;22, "Adult (23+)", M464&gt;15, "Teen/Young Adult (16+)")</f>
        <v>Middle Age (30+)</v>
      </c>
      <c r="O464" s="3" t="s">
        <v>15</v>
      </c>
    </row>
    <row r="465" spans="1:15" x14ac:dyDescent="0.3">
      <c r="A465" s="4">
        <v>19331</v>
      </c>
      <c r="B465" s="3" t="s">
        <v>40</v>
      </c>
      <c r="C465" s="3" t="s">
        <v>42</v>
      </c>
      <c r="D465" s="11">
        <v>20000</v>
      </c>
      <c r="E465" s="9" t="str" cm="1">
        <f t="array" ref="E465">_xlfn.IFS(D465&gt;149000, "Very High", D465&gt;99000, "High", D465&gt;59999, "Average", D465&gt;19999, "Low", D465&gt;0, "Poverty")</f>
        <v>Low</v>
      </c>
      <c r="F465" s="3">
        <v>2</v>
      </c>
      <c r="G465" t="s">
        <v>27</v>
      </c>
      <c r="H465" t="s">
        <v>25</v>
      </c>
      <c r="I465" s="3" t="s">
        <v>15</v>
      </c>
      <c r="J465" s="3">
        <v>1</v>
      </c>
      <c r="K465" t="s">
        <v>16</v>
      </c>
      <c r="L465" t="s">
        <v>17</v>
      </c>
      <c r="M465" s="3">
        <v>40</v>
      </c>
      <c r="N465" s="3" t="str" cm="1">
        <f t="array" ref="N465">_xlfn.IFS(M465&gt;59, "Pension Age", M465&gt;44, "Elderly (45+)", M465&gt;29, "Middle Age (30+)", M465&gt;22, "Adult (23+)", M465&gt;15, "Teen/Young Adult (16+)")</f>
        <v>Middle Age (30+)</v>
      </c>
      <c r="O465" s="3" t="s">
        <v>18</v>
      </c>
    </row>
    <row r="466" spans="1:15" x14ac:dyDescent="0.3">
      <c r="A466" s="4">
        <v>17754</v>
      </c>
      <c r="B466" s="3" t="s">
        <v>40</v>
      </c>
      <c r="C466" s="3" t="s">
        <v>41</v>
      </c>
      <c r="D466" s="11">
        <v>30000</v>
      </c>
      <c r="E466" s="9" t="str" cm="1">
        <f t="array" ref="E466">_xlfn.IFS(D466&gt;149000, "Very High", D466&gt;99000, "High", D466&gt;59999, "Average", D466&gt;19999, "Low", D466&gt;0, "Poverty")</f>
        <v>Low</v>
      </c>
      <c r="F466" s="3">
        <v>3</v>
      </c>
      <c r="G466" t="s">
        <v>13</v>
      </c>
      <c r="H466" t="s">
        <v>20</v>
      </c>
      <c r="I466" s="3" t="s">
        <v>15</v>
      </c>
      <c r="J466" s="3">
        <v>0</v>
      </c>
      <c r="K466" t="s">
        <v>16</v>
      </c>
      <c r="L466" t="s">
        <v>17</v>
      </c>
      <c r="M466" s="3">
        <v>46</v>
      </c>
      <c r="N466" s="3" t="str" cm="1">
        <f t="array" ref="N466">_xlfn.IFS(M466&gt;59, "Pension Age", M466&gt;44, "Elderly (45+)", M466&gt;29, "Middle Age (30+)", M466&gt;22, "Adult (23+)", M466&gt;15, "Teen/Young Adult (16+)")</f>
        <v>Elderly (45+)</v>
      </c>
      <c r="O466" s="3" t="s">
        <v>15</v>
      </c>
    </row>
    <row r="467" spans="1:15" x14ac:dyDescent="0.3">
      <c r="A467" s="4">
        <v>11149</v>
      </c>
      <c r="B467" s="3" t="s">
        <v>39</v>
      </c>
      <c r="C467" s="3" t="s">
        <v>42</v>
      </c>
      <c r="D467" s="11">
        <v>40000</v>
      </c>
      <c r="E467" s="9" t="str" cm="1">
        <f t="array" ref="E467">_xlfn.IFS(D467&gt;149000, "Very High", D467&gt;99000, "High", D467&gt;59999, "Average", D467&gt;19999, "Low", D467&gt;0, "Poverty")</f>
        <v>Low</v>
      </c>
      <c r="F467" s="3">
        <v>2</v>
      </c>
      <c r="G467" t="s">
        <v>13</v>
      </c>
      <c r="H467" t="s">
        <v>28</v>
      </c>
      <c r="I467" s="3" t="s">
        <v>15</v>
      </c>
      <c r="J467" s="3">
        <v>2</v>
      </c>
      <c r="K467" t="s">
        <v>16</v>
      </c>
      <c r="L467" t="s">
        <v>24</v>
      </c>
      <c r="M467" s="3">
        <v>65</v>
      </c>
      <c r="N467" s="3" t="str" cm="1">
        <f t="array" ref="N467">_xlfn.IFS(M467&gt;59, "Pension Age", M467&gt;44, "Elderly (45+)", M467&gt;29, "Middle Age (30+)", M467&gt;22, "Adult (23+)", M467&gt;15, "Teen/Young Adult (16+)")</f>
        <v>Pension Age</v>
      </c>
      <c r="O467" s="3" t="s">
        <v>18</v>
      </c>
    </row>
    <row r="468" spans="1:15" x14ac:dyDescent="0.3">
      <c r="A468" s="4">
        <v>16549</v>
      </c>
      <c r="B468" s="3" t="s">
        <v>40</v>
      </c>
      <c r="C468" s="3" t="s">
        <v>41</v>
      </c>
      <c r="D468" s="11">
        <v>30000</v>
      </c>
      <c r="E468" s="9" t="str" cm="1">
        <f t="array" ref="E468">_xlfn.IFS(D468&gt;149000, "Very High", D468&gt;99000, "High", D468&gt;59999, "Average", D468&gt;19999, "Low", D468&gt;0, "Poverty")</f>
        <v>Low</v>
      </c>
      <c r="F468" s="3">
        <v>3</v>
      </c>
      <c r="G468" t="s">
        <v>13</v>
      </c>
      <c r="H468" t="s">
        <v>20</v>
      </c>
      <c r="I468" s="3" t="s">
        <v>15</v>
      </c>
      <c r="J468" s="3">
        <v>0</v>
      </c>
      <c r="K468" t="s">
        <v>16</v>
      </c>
      <c r="L468" t="s">
        <v>17</v>
      </c>
      <c r="M468" s="3">
        <v>47</v>
      </c>
      <c r="N468" s="3" t="str" cm="1">
        <f t="array" ref="N468">_xlfn.IFS(M468&gt;59, "Pension Age", M468&gt;44, "Elderly (45+)", M468&gt;29, "Middle Age (30+)", M468&gt;22, "Adult (23+)", M468&gt;15, "Teen/Young Adult (16+)")</f>
        <v>Elderly (45+)</v>
      </c>
      <c r="O468" s="3" t="s">
        <v>15</v>
      </c>
    </row>
    <row r="469" spans="1:15" x14ac:dyDescent="0.3">
      <c r="A469" s="4">
        <v>24305</v>
      </c>
      <c r="B469" s="3" t="s">
        <v>40</v>
      </c>
      <c r="C469" s="3" t="s">
        <v>42</v>
      </c>
      <c r="D469" s="11">
        <v>100000</v>
      </c>
      <c r="E469" s="9" t="str" cm="1">
        <f t="array" ref="E469">_xlfn.IFS(D469&gt;149000, "Very High", D469&gt;99000, "High", D469&gt;59999, "Average", D469&gt;19999, "Low", D469&gt;0, "Poverty")</f>
        <v>High</v>
      </c>
      <c r="F469" s="3">
        <v>1</v>
      </c>
      <c r="G469" t="s">
        <v>13</v>
      </c>
      <c r="H469" t="s">
        <v>28</v>
      </c>
      <c r="I469" s="3" t="s">
        <v>18</v>
      </c>
      <c r="J469" s="3">
        <v>3</v>
      </c>
      <c r="K469" t="s">
        <v>16</v>
      </c>
      <c r="L469" t="s">
        <v>24</v>
      </c>
      <c r="M469" s="3">
        <v>46</v>
      </c>
      <c r="N469" s="3" t="str" cm="1">
        <f t="array" ref="N469">_xlfn.IFS(M469&gt;59, "Pension Age", M469&gt;44, "Elderly (45+)", M469&gt;29, "Middle Age (30+)", M469&gt;22, "Adult (23+)", M469&gt;15, "Teen/Young Adult (16+)")</f>
        <v>Elderly (45+)</v>
      </c>
      <c r="O469" s="3" t="s">
        <v>15</v>
      </c>
    </row>
    <row r="470" spans="1:15" x14ac:dyDescent="0.3">
      <c r="A470" s="4">
        <v>18253</v>
      </c>
      <c r="B470" s="3" t="s">
        <v>39</v>
      </c>
      <c r="C470" s="3" t="s">
        <v>41</v>
      </c>
      <c r="D470" s="11">
        <v>80000</v>
      </c>
      <c r="E470" s="9" t="str" cm="1">
        <f t="array" ref="E470">_xlfn.IFS(D470&gt;149000, "Very High", D470&gt;99000, "High", D470&gt;59999, "Average", D470&gt;19999, "Low", D470&gt;0, "Poverty")</f>
        <v>Average</v>
      </c>
      <c r="F470" s="3">
        <v>5</v>
      </c>
      <c r="G470" t="s">
        <v>31</v>
      </c>
      <c r="H470" t="s">
        <v>28</v>
      </c>
      <c r="I470" s="3" t="s">
        <v>15</v>
      </c>
      <c r="J470" s="3">
        <v>3</v>
      </c>
      <c r="K470" t="s">
        <v>16</v>
      </c>
      <c r="L470" t="s">
        <v>24</v>
      </c>
      <c r="M470" s="3">
        <v>40</v>
      </c>
      <c r="N470" s="3" t="str" cm="1">
        <f t="array" ref="N470">_xlfn.IFS(M470&gt;59, "Pension Age", M470&gt;44, "Elderly (45+)", M470&gt;29, "Middle Age (30+)", M470&gt;22, "Adult (23+)", M470&gt;15, "Teen/Young Adult (16+)")</f>
        <v>Middle Age (30+)</v>
      </c>
      <c r="O470" s="3" t="s">
        <v>18</v>
      </c>
    </row>
    <row r="471" spans="1:15" x14ac:dyDescent="0.3">
      <c r="A471" s="4">
        <v>20147</v>
      </c>
      <c r="B471" s="3" t="s">
        <v>39</v>
      </c>
      <c r="C471" s="3" t="s">
        <v>41</v>
      </c>
      <c r="D471" s="11">
        <v>30000</v>
      </c>
      <c r="E471" s="9" t="str" cm="1">
        <f t="array" ref="E471">_xlfn.IFS(D471&gt;149000, "Very High", D471&gt;99000, "High", D471&gt;59999, "Average", D471&gt;19999, "Low", D471&gt;0, "Poverty")</f>
        <v>Low</v>
      </c>
      <c r="F471" s="3">
        <v>1</v>
      </c>
      <c r="G471" t="s">
        <v>13</v>
      </c>
      <c r="H471" t="s">
        <v>20</v>
      </c>
      <c r="I471" s="3" t="s">
        <v>15</v>
      </c>
      <c r="J471" s="3">
        <v>0</v>
      </c>
      <c r="K471" t="s">
        <v>16</v>
      </c>
      <c r="L471" t="s">
        <v>17</v>
      </c>
      <c r="M471" s="3">
        <v>65</v>
      </c>
      <c r="N471" s="3" t="str" cm="1">
        <f t="array" ref="N471">_xlfn.IFS(M471&gt;59, "Pension Age", M471&gt;44, "Elderly (45+)", M471&gt;29, "Middle Age (30+)", M471&gt;22, "Adult (23+)", M471&gt;15, "Teen/Young Adult (16+)")</f>
        <v>Pension Age</v>
      </c>
      <c r="O471" s="3" t="s">
        <v>18</v>
      </c>
    </row>
    <row r="472" spans="1:15" x14ac:dyDescent="0.3">
      <c r="A472" s="4">
        <v>15612</v>
      </c>
      <c r="B472" s="3" t="s">
        <v>40</v>
      </c>
      <c r="C472" s="3" t="s">
        <v>42</v>
      </c>
      <c r="D472" s="11">
        <v>30000</v>
      </c>
      <c r="E472" s="9" t="str" cm="1">
        <f t="array" ref="E472">_xlfn.IFS(D472&gt;149000, "Very High", D472&gt;99000, "High", D472&gt;59999, "Average", D472&gt;19999, "Low", D472&gt;0, "Poverty")</f>
        <v>Low</v>
      </c>
      <c r="F472" s="3">
        <v>0</v>
      </c>
      <c r="G472" t="s">
        <v>27</v>
      </c>
      <c r="H472" t="s">
        <v>25</v>
      </c>
      <c r="I472" s="3" t="s">
        <v>18</v>
      </c>
      <c r="J472" s="3">
        <v>1</v>
      </c>
      <c r="K472" t="s">
        <v>26</v>
      </c>
      <c r="L472" t="s">
        <v>17</v>
      </c>
      <c r="M472" s="3">
        <v>28</v>
      </c>
      <c r="N472" s="3" t="str" cm="1">
        <f t="array" ref="N472">_xlfn.IFS(M472&gt;59, "Pension Age", M472&gt;44, "Elderly (45+)", M472&gt;29, "Middle Age (30+)", M472&gt;22, "Adult (23+)", M472&gt;15, "Teen/Young Adult (16+)")</f>
        <v>Adult (23+)</v>
      </c>
      <c r="O472" s="3" t="s">
        <v>18</v>
      </c>
    </row>
    <row r="473" spans="1:15" x14ac:dyDescent="0.3">
      <c r="A473" s="4">
        <v>28323</v>
      </c>
      <c r="B473" s="3" t="s">
        <v>40</v>
      </c>
      <c r="C473" s="3" t="s">
        <v>42</v>
      </c>
      <c r="D473" s="11">
        <v>70000</v>
      </c>
      <c r="E473" s="9" t="str" cm="1">
        <f t="array" ref="E473">_xlfn.IFS(D473&gt;149000, "Very High", D473&gt;99000, "High", D473&gt;59999, "Average", D473&gt;19999, "Low", D473&gt;0, "Poverty")</f>
        <v>Average</v>
      </c>
      <c r="F473" s="3">
        <v>0</v>
      </c>
      <c r="G473" t="s">
        <v>13</v>
      </c>
      <c r="H473" t="s">
        <v>21</v>
      </c>
      <c r="I473" s="3" t="s">
        <v>18</v>
      </c>
      <c r="J473" s="3">
        <v>2</v>
      </c>
      <c r="K473" t="s">
        <v>23</v>
      </c>
      <c r="L473" t="s">
        <v>24</v>
      </c>
      <c r="M473" s="3">
        <v>43</v>
      </c>
      <c r="N473" s="3" t="str" cm="1">
        <f t="array" ref="N473">_xlfn.IFS(M473&gt;59, "Pension Age", M473&gt;44, "Elderly (45+)", M473&gt;29, "Middle Age (30+)", M473&gt;22, "Adult (23+)", M473&gt;15, "Teen/Young Adult (16+)")</f>
        <v>Middle Age (30+)</v>
      </c>
      <c r="O473" s="3" t="s">
        <v>15</v>
      </c>
    </row>
    <row r="474" spans="1:15" x14ac:dyDescent="0.3">
      <c r="A474" s="4">
        <v>22634</v>
      </c>
      <c r="B474" s="3" t="s">
        <v>40</v>
      </c>
      <c r="C474" s="3" t="s">
        <v>41</v>
      </c>
      <c r="D474" s="11">
        <v>40000</v>
      </c>
      <c r="E474" s="9" t="str" cm="1">
        <f t="array" ref="E474">_xlfn.IFS(D474&gt;149000, "Very High", D474&gt;99000, "High", D474&gt;59999, "Average", D474&gt;19999, "Low", D474&gt;0, "Poverty")</f>
        <v>Low</v>
      </c>
      <c r="F474" s="3">
        <v>0</v>
      </c>
      <c r="G474" t="s">
        <v>31</v>
      </c>
      <c r="H474" t="s">
        <v>20</v>
      </c>
      <c r="I474" s="3" t="s">
        <v>15</v>
      </c>
      <c r="J474" s="3">
        <v>0</v>
      </c>
      <c r="K474" t="s">
        <v>16</v>
      </c>
      <c r="L474" t="s">
        <v>17</v>
      </c>
      <c r="M474" s="3">
        <v>38</v>
      </c>
      <c r="N474" s="3" t="str" cm="1">
        <f t="array" ref="N474">_xlfn.IFS(M474&gt;59, "Pension Age", M474&gt;44, "Elderly (45+)", M474&gt;29, "Middle Age (30+)", M474&gt;22, "Adult (23+)", M474&gt;15, "Teen/Young Adult (16+)")</f>
        <v>Middle Age (30+)</v>
      </c>
      <c r="O474" s="3" t="s">
        <v>15</v>
      </c>
    </row>
    <row r="475" spans="1:15" x14ac:dyDescent="0.3">
      <c r="A475" s="4">
        <v>15665</v>
      </c>
      <c r="B475" s="3" t="s">
        <v>39</v>
      </c>
      <c r="C475" s="3" t="s">
        <v>41</v>
      </c>
      <c r="D475" s="11">
        <v>30000</v>
      </c>
      <c r="E475" s="9" t="str" cm="1">
        <f t="array" ref="E475">_xlfn.IFS(D475&gt;149000, "Very High", D475&gt;99000, "High", D475&gt;59999, "Average", D475&gt;19999, "Low", D475&gt;0, "Poverty")</f>
        <v>Low</v>
      </c>
      <c r="F475" s="3">
        <v>0</v>
      </c>
      <c r="G475" t="s">
        <v>13</v>
      </c>
      <c r="H475" t="s">
        <v>20</v>
      </c>
      <c r="I475" s="3" t="s">
        <v>15</v>
      </c>
      <c r="J475" s="3">
        <v>0</v>
      </c>
      <c r="K475" t="s">
        <v>16</v>
      </c>
      <c r="L475" t="s">
        <v>17</v>
      </c>
      <c r="M475" s="3">
        <v>47</v>
      </c>
      <c r="N475" s="3" t="str" cm="1">
        <f t="array" ref="N475">_xlfn.IFS(M475&gt;59, "Pension Age", M475&gt;44, "Elderly (45+)", M475&gt;29, "Middle Age (30+)", M475&gt;22, "Adult (23+)", M475&gt;15, "Teen/Young Adult (16+)")</f>
        <v>Elderly (45+)</v>
      </c>
      <c r="O475" s="3" t="s">
        <v>15</v>
      </c>
    </row>
    <row r="476" spans="1:15" x14ac:dyDescent="0.3">
      <c r="A476" s="4">
        <v>27585</v>
      </c>
      <c r="B476" s="3" t="s">
        <v>39</v>
      </c>
      <c r="C476" s="3" t="s">
        <v>41</v>
      </c>
      <c r="D476" s="11">
        <v>90000</v>
      </c>
      <c r="E476" s="9" t="str" cm="1">
        <f t="array" ref="E476">_xlfn.IFS(D476&gt;149000, "Very High", D476&gt;99000, "High", D476&gt;59999, "Average", D476&gt;19999, "Low", D476&gt;0, "Poverty")</f>
        <v>Average</v>
      </c>
      <c r="F476" s="3">
        <v>2</v>
      </c>
      <c r="G476" t="s">
        <v>13</v>
      </c>
      <c r="H476" t="s">
        <v>21</v>
      </c>
      <c r="I476" s="3" t="s">
        <v>18</v>
      </c>
      <c r="J476" s="3">
        <v>0</v>
      </c>
      <c r="K476" t="s">
        <v>16</v>
      </c>
      <c r="L476" t="s">
        <v>24</v>
      </c>
      <c r="M476" s="3">
        <v>36</v>
      </c>
      <c r="N476" s="3" t="str" cm="1">
        <f t="array" ref="N476">_xlfn.IFS(M476&gt;59, "Pension Age", M476&gt;44, "Elderly (45+)", M476&gt;29, "Middle Age (30+)", M476&gt;22, "Adult (23+)", M476&gt;15, "Teen/Young Adult (16+)")</f>
        <v>Middle Age (30+)</v>
      </c>
      <c r="O476" s="3" t="s">
        <v>15</v>
      </c>
    </row>
    <row r="477" spans="1:15" x14ac:dyDescent="0.3">
      <c r="A477" s="4">
        <v>19748</v>
      </c>
      <c r="B477" s="3" t="s">
        <v>39</v>
      </c>
      <c r="C477" s="3" t="s">
        <v>42</v>
      </c>
      <c r="D477" s="11">
        <v>20000</v>
      </c>
      <c r="E477" s="9" t="str" cm="1">
        <f t="array" ref="E477">_xlfn.IFS(D477&gt;149000, "Very High", D477&gt;99000, "High", D477&gt;59999, "Average", D477&gt;19999, "Low", D477&gt;0, "Poverty")</f>
        <v>Low</v>
      </c>
      <c r="F477" s="3">
        <v>4</v>
      </c>
      <c r="G477" t="s">
        <v>27</v>
      </c>
      <c r="H477" t="s">
        <v>14</v>
      </c>
      <c r="I477" s="3" t="s">
        <v>18</v>
      </c>
      <c r="J477" s="3">
        <v>2</v>
      </c>
      <c r="K477" t="s">
        <v>26</v>
      </c>
      <c r="L477" t="s">
        <v>24</v>
      </c>
      <c r="M477" s="3">
        <v>60</v>
      </c>
      <c r="N477" s="3" t="str" cm="1">
        <f t="array" ref="N477">_xlfn.IFS(M477&gt;59, "Pension Age", M477&gt;44, "Elderly (45+)", M477&gt;29, "Middle Age (30+)", M477&gt;22, "Adult (23+)", M477&gt;15, "Teen/Young Adult (16+)")</f>
        <v>Pension Age</v>
      </c>
      <c r="O477" s="3" t="s">
        <v>18</v>
      </c>
    </row>
    <row r="478" spans="1:15" x14ac:dyDescent="0.3">
      <c r="A478" s="4">
        <v>21974</v>
      </c>
      <c r="B478" s="3" t="s">
        <v>40</v>
      </c>
      <c r="C478" s="3" t="s">
        <v>41</v>
      </c>
      <c r="D478" s="11">
        <v>70000</v>
      </c>
      <c r="E478" s="9" t="str" cm="1">
        <f t="array" ref="E478">_xlfn.IFS(D478&gt;149000, "Very High", D478&gt;99000, "High", D478&gt;59999, "Average", D478&gt;19999, "Low", D478&gt;0, "Poverty")</f>
        <v>Average</v>
      </c>
      <c r="F478" s="3">
        <v>0</v>
      </c>
      <c r="G478" t="s">
        <v>13</v>
      </c>
      <c r="H478" t="s">
        <v>21</v>
      </c>
      <c r="I478" s="3" t="s">
        <v>15</v>
      </c>
      <c r="J478" s="3">
        <v>1</v>
      </c>
      <c r="K478" t="s">
        <v>23</v>
      </c>
      <c r="L478" t="s">
        <v>24</v>
      </c>
      <c r="M478" s="3">
        <v>42</v>
      </c>
      <c r="N478" s="3" t="str" cm="1">
        <f t="array" ref="N478">_xlfn.IFS(M478&gt;59, "Pension Age", M478&gt;44, "Elderly (45+)", M478&gt;29, "Middle Age (30+)", M478&gt;22, "Adult (23+)", M478&gt;15, "Teen/Young Adult (16+)")</f>
        <v>Middle Age (30+)</v>
      </c>
      <c r="O478" s="3" t="s">
        <v>15</v>
      </c>
    </row>
    <row r="479" spans="1:15" x14ac:dyDescent="0.3">
      <c r="A479" s="4">
        <v>14032</v>
      </c>
      <c r="B479" s="3" t="s">
        <v>39</v>
      </c>
      <c r="C479" s="3" t="s">
        <v>42</v>
      </c>
      <c r="D479" s="11">
        <v>70000</v>
      </c>
      <c r="E479" s="9" t="str" cm="1">
        <f t="array" ref="E479">_xlfn.IFS(D479&gt;149000, "Very High", D479&gt;99000, "High", D479&gt;59999, "Average", D479&gt;19999, "Low", D479&gt;0, "Poverty")</f>
        <v>Average</v>
      </c>
      <c r="F479" s="3">
        <v>2</v>
      </c>
      <c r="G479" t="s">
        <v>27</v>
      </c>
      <c r="H479" t="s">
        <v>14</v>
      </c>
      <c r="I479" s="3" t="s">
        <v>18</v>
      </c>
      <c r="J479" s="3">
        <v>2</v>
      </c>
      <c r="K479" t="s">
        <v>26</v>
      </c>
      <c r="L479" t="s">
        <v>24</v>
      </c>
      <c r="M479" s="3">
        <v>50</v>
      </c>
      <c r="N479" s="3" t="str" cm="1">
        <f t="array" ref="N479">_xlfn.IFS(M479&gt;59, "Pension Age", M479&gt;44, "Elderly (45+)", M479&gt;29, "Middle Age (30+)", M479&gt;22, "Adult (23+)", M479&gt;15, "Teen/Young Adult (16+)")</f>
        <v>Elderly (45+)</v>
      </c>
      <c r="O479" s="3" t="s">
        <v>15</v>
      </c>
    </row>
    <row r="480" spans="1:15" x14ac:dyDescent="0.3">
      <c r="A480" s="4">
        <v>22610</v>
      </c>
      <c r="B480" s="3" t="s">
        <v>39</v>
      </c>
      <c r="C480" s="3" t="s">
        <v>42</v>
      </c>
      <c r="D480" s="11">
        <v>30000</v>
      </c>
      <c r="E480" s="9" t="str" cm="1">
        <f t="array" ref="E480">_xlfn.IFS(D480&gt;149000, "Very High", D480&gt;99000, "High", D480&gt;59999, "Average", D480&gt;19999, "Low", D480&gt;0, "Poverty")</f>
        <v>Low</v>
      </c>
      <c r="F480" s="3">
        <v>0</v>
      </c>
      <c r="G480" t="s">
        <v>13</v>
      </c>
      <c r="H480" t="s">
        <v>20</v>
      </c>
      <c r="I480" s="3" t="s">
        <v>15</v>
      </c>
      <c r="J480" s="3">
        <v>0</v>
      </c>
      <c r="K480" t="s">
        <v>16</v>
      </c>
      <c r="L480" t="s">
        <v>17</v>
      </c>
      <c r="M480" s="3">
        <v>35</v>
      </c>
      <c r="N480" s="3" t="str" cm="1">
        <f t="array" ref="N480">_xlfn.IFS(M480&gt;59, "Pension Age", M480&gt;44, "Elderly (45+)", M480&gt;29, "Middle Age (30+)", M480&gt;22, "Adult (23+)", M480&gt;15, "Teen/Young Adult (16+)")</f>
        <v>Middle Age (30+)</v>
      </c>
      <c r="O480" s="3" t="s">
        <v>15</v>
      </c>
    </row>
    <row r="481" spans="1:15" x14ac:dyDescent="0.3">
      <c r="A481" s="4">
        <v>26984</v>
      </c>
      <c r="B481" s="3" t="s">
        <v>39</v>
      </c>
      <c r="C481" s="3" t="s">
        <v>42</v>
      </c>
      <c r="D481" s="11">
        <v>40000</v>
      </c>
      <c r="E481" s="9" t="str" cm="1">
        <f t="array" ref="E481">_xlfn.IFS(D481&gt;149000, "Very High", D481&gt;99000, "High", D481&gt;59999, "Average", D481&gt;19999, "Low", D481&gt;0, "Poverty")</f>
        <v>Low</v>
      </c>
      <c r="F481" s="3">
        <v>1</v>
      </c>
      <c r="G481" t="s">
        <v>13</v>
      </c>
      <c r="H481" t="s">
        <v>14</v>
      </c>
      <c r="I481" s="3" t="s">
        <v>15</v>
      </c>
      <c r="J481" s="3">
        <v>1</v>
      </c>
      <c r="K481" t="s">
        <v>16</v>
      </c>
      <c r="L481" t="s">
        <v>17</v>
      </c>
      <c r="M481" s="3">
        <v>32</v>
      </c>
      <c r="N481" s="3" t="str" cm="1">
        <f t="array" ref="N481">_xlfn.IFS(M481&gt;59, "Pension Age", M481&gt;44, "Elderly (45+)", M481&gt;29, "Middle Age (30+)", M481&gt;22, "Adult (23+)", M481&gt;15, "Teen/Young Adult (16+)")</f>
        <v>Middle Age (30+)</v>
      </c>
      <c r="O481" s="3" t="s">
        <v>15</v>
      </c>
    </row>
    <row r="482" spans="1:15" x14ac:dyDescent="0.3">
      <c r="A482" s="4">
        <v>18294</v>
      </c>
      <c r="B482" s="3" t="s">
        <v>39</v>
      </c>
      <c r="C482" s="3" t="s">
        <v>41</v>
      </c>
      <c r="D482" s="11">
        <v>90000</v>
      </c>
      <c r="E482" s="9" t="str" cm="1">
        <f t="array" ref="E482">_xlfn.IFS(D482&gt;149000, "Very High", D482&gt;99000, "High", D482&gt;59999, "Average", D482&gt;19999, "Low", D482&gt;0, "Poverty")</f>
        <v>Average</v>
      </c>
      <c r="F482" s="3">
        <v>1</v>
      </c>
      <c r="G482" t="s">
        <v>13</v>
      </c>
      <c r="H482" t="s">
        <v>21</v>
      </c>
      <c r="I482" s="3" t="s">
        <v>15</v>
      </c>
      <c r="J482" s="3">
        <v>1</v>
      </c>
      <c r="K482" t="s">
        <v>23</v>
      </c>
      <c r="L482" t="s">
        <v>24</v>
      </c>
      <c r="M482" s="3">
        <v>46</v>
      </c>
      <c r="N482" s="3" t="str" cm="1">
        <f t="array" ref="N482">_xlfn.IFS(M482&gt;59, "Pension Age", M482&gt;44, "Elderly (45+)", M482&gt;29, "Middle Age (30+)", M482&gt;22, "Adult (23+)", M482&gt;15, "Teen/Young Adult (16+)")</f>
        <v>Elderly (45+)</v>
      </c>
      <c r="O482" s="3" t="s">
        <v>18</v>
      </c>
    </row>
    <row r="483" spans="1:15" x14ac:dyDescent="0.3">
      <c r="A483" s="4">
        <v>28564</v>
      </c>
      <c r="B483" s="3" t="s">
        <v>40</v>
      </c>
      <c r="C483" s="3" t="s">
        <v>41</v>
      </c>
      <c r="D483" s="11">
        <v>40000</v>
      </c>
      <c r="E483" s="9" t="str" cm="1">
        <f t="array" ref="E483">_xlfn.IFS(D483&gt;149000, "Very High", D483&gt;99000, "High", D483&gt;59999, "Average", D483&gt;19999, "Low", D483&gt;0, "Poverty")</f>
        <v>Low</v>
      </c>
      <c r="F483" s="3">
        <v>2</v>
      </c>
      <c r="G483" t="s">
        <v>19</v>
      </c>
      <c r="H483" t="s">
        <v>20</v>
      </c>
      <c r="I483" s="3" t="s">
        <v>15</v>
      </c>
      <c r="J483" s="3">
        <v>0</v>
      </c>
      <c r="K483" t="s">
        <v>26</v>
      </c>
      <c r="L483" t="s">
        <v>17</v>
      </c>
      <c r="M483" s="3">
        <v>33</v>
      </c>
      <c r="N483" s="3" t="str" cm="1">
        <f t="array" ref="N483">_xlfn.IFS(M483&gt;59, "Pension Age", M483&gt;44, "Elderly (45+)", M483&gt;29, "Middle Age (30+)", M483&gt;22, "Adult (23+)", M483&gt;15, "Teen/Young Adult (16+)")</f>
        <v>Middle Age (30+)</v>
      </c>
      <c r="O483" s="3" t="s">
        <v>15</v>
      </c>
    </row>
    <row r="484" spans="1:15" x14ac:dyDescent="0.3">
      <c r="A484" s="4">
        <v>28521</v>
      </c>
      <c r="B484" s="3" t="s">
        <v>40</v>
      </c>
      <c r="C484" s="3" t="s">
        <v>42</v>
      </c>
      <c r="D484" s="11">
        <v>40000</v>
      </c>
      <c r="E484" s="9" t="str" cm="1">
        <f t="array" ref="E484">_xlfn.IFS(D484&gt;149000, "Very High", D484&gt;99000, "High", D484&gt;59999, "Average", D484&gt;19999, "Low", D484&gt;0, "Poverty")</f>
        <v>Low</v>
      </c>
      <c r="F484" s="3">
        <v>0</v>
      </c>
      <c r="G484" t="s">
        <v>31</v>
      </c>
      <c r="H484" t="s">
        <v>20</v>
      </c>
      <c r="I484" s="3" t="s">
        <v>18</v>
      </c>
      <c r="J484" s="3">
        <v>0</v>
      </c>
      <c r="K484" t="s">
        <v>16</v>
      </c>
      <c r="L484" t="s">
        <v>17</v>
      </c>
      <c r="M484" s="3">
        <v>36</v>
      </c>
      <c r="N484" s="3" t="str" cm="1">
        <f t="array" ref="N484">_xlfn.IFS(M484&gt;59, "Pension Age", M484&gt;44, "Elderly (45+)", M484&gt;29, "Middle Age (30+)", M484&gt;22, "Adult (23+)", M484&gt;15, "Teen/Young Adult (16+)")</f>
        <v>Middle Age (30+)</v>
      </c>
      <c r="O484" s="3" t="s">
        <v>15</v>
      </c>
    </row>
    <row r="485" spans="1:15" x14ac:dyDescent="0.3">
      <c r="A485" s="4">
        <v>15450</v>
      </c>
      <c r="B485" s="3" t="s">
        <v>39</v>
      </c>
      <c r="C485" s="3" t="s">
        <v>42</v>
      </c>
      <c r="D485" s="11">
        <v>10000</v>
      </c>
      <c r="E485" s="9" t="str" cm="1">
        <f t="array" ref="E485">_xlfn.IFS(D485&gt;149000, "Very High", D485&gt;99000, "High", D485&gt;59999, "Average", D485&gt;19999, "Low", D485&gt;0, "Poverty")</f>
        <v>Poverty</v>
      </c>
      <c r="F485" s="3">
        <v>1</v>
      </c>
      <c r="G485" t="s">
        <v>31</v>
      </c>
      <c r="H485" t="s">
        <v>20</v>
      </c>
      <c r="I485" s="3" t="s">
        <v>15</v>
      </c>
      <c r="J485" s="3">
        <v>0</v>
      </c>
      <c r="K485" t="s">
        <v>16</v>
      </c>
      <c r="L485" t="s">
        <v>17</v>
      </c>
      <c r="M485" s="3">
        <v>70</v>
      </c>
      <c r="N485" s="3" t="str" cm="1">
        <f t="array" ref="N485">_xlfn.IFS(M485&gt;59, "Pension Age", M485&gt;44, "Elderly (45+)", M485&gt;29, "Middle Age (30+)", M485&gt;22, "Adult (23+)", M485&gt;15, "Teen/Young Adult (16+)")</f>
        <v>Pension Age</v>
      </c>
      <c r="O485" s="3" t="s">
        <v>18</v>
      </c>
    </row>
    <row r="486" spans="1:15" x14ac:dyDescent="0.3">
      <c r="A486" s="4">
        <v>25681</v>
      </c>
      <c r="B486" s="3" t="s">
        <v>40</v>
      </c>
      <c r="C486" s="3" t="s">
        <v>41</v>
      </c>
      <c r="D486" s="11">
        <v>30000</v>
      </c>
      <c r="E486" s="9" t="str" cm="1">
        <f t="array" ref="E486">_xlfn.IFS(D486&gt;149000, "Very High", D486&gt;99000, "High", D486&gt;59999, "Average", D486&gt;19999, "Low", D486&gt;0, "Poverty")</f>
        <v>Low</v>
      </c>
      <c r="F486" s="3">
        <v>0</v>
      </c>
      <c r="G486" t="s">
        <v>19</v>
      </c>
      <c r="H486" t="s">
        <v>20</v>
      </c>
      <c r="I486" s="3" t="s">
        <v>18</v>
      </c>
      <c r="J486" s="3">
        <v>1</v>
      </c>
      <c r="K486" t="s">
        <v>22</v>
      </c>
      <c r="L486" t="s">
        <v>17</v>
      </c>
      <c r="M486" s="3">
        <v>31</v>
      </c>
      <c r="N486" s="3" t="str" cm="1">
        <f t="array" ref="N486">_xlfn.IFS(M486&gt;59, "Pension Age", M486&gt;44, "Elderly (45+)", M486&gt;29, "Middle Age (30+)", M486&gt;22, "Adult (23+)", M486&gt;15, "Teen/Young Adult (16+)")</f>
        <v>Middle Age (30+)</v>
      </c>
      <c r="O486" s="3" t="s">
        <v>15</v>
      </c>
    </row>
    <row r="487" spans="1:15" x14ac:dyDescent="0.3">
      <c r="A487" s="4">
        <v>19491</v>
      </c>
      <c r="B487" s="3" t="s">
        <v>40</v>
      </c>
      <c r="C487" s="3" t="s">
        <v>42</v>
      </c>
      <c r="D487" s="11">
        <v>30000</v>
      </c>
      <c r="E487" s="9" t="str" cm="1">
        <f t="array" ref="E487">_xlfn.IFS(D487&gt;149000, "Very High", D487&gt;99000, "High", D487&gt;59999, "Average", D487&gt;19999, "Low", D487&gt;0, "Poverty")</f>
        <v>Low</v>
      </c>
      <c r="F487" s="3">
        <v>2</v>
      </c>
      <c r="G487" t="s">
        <v>19</v>
      </c>
      <c r="H487" t="s">
        <v>20</v>
      </c>
      <c r="I487" s="3" t="s">
        <v>15</v>
      </c>
      <c r="J487" s="3">
        <v>2</v>
      </c>
      <c r="K487" t="s">
        <v>16</v>
      </c>
      <c r="L487" t="s">
        <v>17</v>
      </c>
      <c r="M487" s="3">
        <v>42</v>
      </c>
      <c r="N487" s="3" t="str" cm="1">
        <f t="array" ref="N487">_xlfn.IFS(M487&gt;59, "Pension Age", M487&gt;44, "Elderly (45+)", M487&gt;29, "Middle Age (30+)", M487&gt;22, "Adult (23+)", M487&gt;15, "Teen/Young Adult (16+)")</f>
        <v>Middle Age (30+)</v>
      </c>
      <c r="O487" s="3" t="s">
        <v>18</v>
      </c>
    </row>
    <row r="488" spans="1:15" x14ac:dyDescent="0.3">
      <c r="A488" s="4">
        <v>26415</v>
      </c>
      <c r="B488" s="3" t="s">
        <v>39</v>
      </c>
      <c r="C488" s="3" t="s">
        <v>41</v>
      </c>
      <c r="D488" s="11">
        <v>90000</v>
      </c>
      <c r="E488" s="9" t="str" cm="1">
        <f t="array" ref="E488">_xlfn.IFS(D488&gt;149000, "Very High", D488&gt;99000, "High", D488&gt;59999, "Average", D488&gt;19999, "Low", D488&gt;0, "Poverty")</f>
        <v>Average</v>
      </c>
      <c r="F488" s="3">
        <v>4</v>
      </c>
      <c r="G488" t="s">
        <v>29</v>
      </c>
      <c r="H488" t="s">
        <v>14</v>
      </c>
      <c r="I488" s="3" t="s">
        <v>15</v>
      </c>
      <c r="J488" s="3">
        <v>4</v>
      </c>
      <c r="K488" t="s">
        <v>30</v>
      </c>
      <c r="L488" t="s">
        <v>17</v>
      </c>
      <c r="M488" s="3">
        <v>58</v>
      </c>
      <c r="N488" s="3" t="str" cm="1">
        <f t="array" ref="N488">_xlfn.IFS(M488&gt;59, "Pension Age", M488&gt;44, "Elderly (45+)", M488&gt;29, "Middle Age (30+)", M488&gt;22, "Adult (23+)", M488&gt;15, "Teen/Young Adult (16+)")</f>
        <v>Elderly (45+)</v>
      </c>
      <c r="O488" s="3" t="s">
        <v>18</v>
      </c>
    </row>
    <row r="489" spans="1:15" x14ac:dyDescent="0.3">
      <c r="A489" s="4">
        <v>12821</v>
      </c>
      <c r="B489" s="3" t="s">
        <v>39</v>
      </c>
      <c r="C489" s="3" t="s">
        <v>42</v>
      </c>
      <c r="D489" s="11">
        <v>40000</v>
      </c>
      <c r="E489" s="9" t="str" cm="1">
        <f t="array" ref="E489">_xlfn.IFS(D489&gt;149000, "Very High", D489&gt;99000, "High", D489&gt;59999, "Average", D489&gt;19999, "Low", D489&gt;0, "Poverty")</f>
        <v>Low</v>
      </c>
      <c r="F489" s="3">
        <v>0</v>
      </c>
      <c r="G489" t="s">
        <v>13</v>
      </c>
      <c r="H489" t="s">
        <v>20</v>
      </c>
      <c r="I489" s="3" t="s">
        <v>15</v>
      </c>
      <c r="J489" s="3">
        <v>0</v>
      </c>
      <c r="K489" t="s">
        <v>16</v>
      </c>
      <c r="L489" t="s">
        <v>17</v>
      </c>
      <c r="M489" s="3">
        <v>39</v>
      </c>
      <c r="N489" s="3" t="str" cm="1">
        <f t="array" ref="N489">_xlfn.IFS(M489&gt;59, "Pension Age", M489&gt;44, "Elderly (45+)", M489&gt;29, "Middle Age (30+)", M489&gt;22, "Adult (23+)", M489&gt;15, "Teen/Young Adult (16+)")</f>
        <v>Middle Age (30+)</v>
      </c>
      <c r="O489" s="3" t="s">
        <v>18</v>
      </c>
    </row>
    <row r="490" spans="1:15" x14ac:dyDescent="0.3">
      <c r="A490" s="4">
        <v>15629</v>
      </c>
      <c r="B490" s="3" t="s">
        <v>40</v>
      </c>
      <c r="C490" s="3" t="s">
        <v>41</v>
      </c>
      <c r="D490" s="11">
        <v>10000</v>
      </c>
      <c r="E490" s="9" t="str" cm="1">
        <f t="array" ref="E490">_xlfn.IFS(D490&gt;149000, "Very High", D490&gt;99000, "High", D490&gt;59999, "Average", D490&gt;19999, "Low", D490&gt;0, "Poverty")</f>
        <v>Poverty</v>
      </c>
      <c r="F490" s="3">
        <v>0</v>
      </c>
      <c r="G490" t="s">
        <v>29</v>
      </c>
      <c r="H490" t="s">
        <v>25</v>
      </c>
      <c r="I490" s="3" t="s">
        <v>15</v>
      </c>
      <c r="J490" s="3">
        <v>2</v>
      </c>
      <c r="K490" t="s">
        <v>26</v>
      </c>
      <c r="L490" t="s">
        <v>17</v>
      </c>
      <c r="M490" s="3">
        <v>34</v>
      </c>
      <c r="N490" s="3" t="str" cm="1">
        <f t="array" ref="N490">_xlfn.IFS(M490&gt;59, "Pension Age", M490&gt;44, "Elderly (45+)", M490&gt;29, "Middle Age (30+)", M490&gt;22, "Adult (23+)", M490&gt;15, "Teen/Young Adult (16+)")</f>
        <v>Middle Age (30+)</v>
      </c>
      <c r="O490" s="3" t="s">
        <v>18</v>
      </c>
    </row>
    <row r="491" spans="1:15" x14ac:dyDescent="0.3">
      <c r="A491" s="4">
        <v>27835</v>
      </c>
      <c r="B491" s="3" t="s">
        <v>39</v>
      </c>
      <c r="C491" s="3" t="s">
        <v>42</v>
      </c>
      <c r="D491" s="11">
        <v>20000</v>
      </c>
      <c r="E491" s="9" t="str" cm="1">
        <f t="array" ref="E491">_xlfn.IFS(D491&gt;149000, "Very High", D491&gt;99000, "High", D491&gt;59999, "Average", D491&gt;19999, "Low", D491&gt;0, "Poverty")</f>
        <v>Low</v>
      </c>
      <c r="F491" s="3">
        <v>0</v>
      </c>
      <c r="G491" t="s">
        <v>29</v>
      </c>
      <c r="H491" t="s">
        <v>25</v>
      </c>
      <c r="I491" s="3" t="s">
        <v>15</v>
      </c>
      <c r="J491" s="3">
        <v>2</v>
      </c>
      <c r="K491" t="s">
        <v>16</v>
      </c>
      <c r="L491" t="s">
        <v>17</v>
      </c>
      <c r="M491" s="3">
        <v>32</v>
      </c>
      <c r="N491" s="3" t="str" cm="1">
        <f t="array" ref="N491">_xlfn.IFS(M491&gt;59, "Pension Age", M491&gt;44, "Elderly (45+)", M491&gt;29, "Middle Age (30+)", M491&gt;22, "Adult (23+)", M491&gt;15, "Teen/Young Adult (16+)")</f>
        <v>Middle Age (30+)</v>
      </c>
      <c r="O491" s="3" t="s">
        <v>18</v>
      </c>
    </row>
    <row r="492" spans="1:15" x14ac:dyDescent="0.3">
      <c r="A492" s="4">
        <v>11738</v>
      </c>
      <c r="B492" s="3" t="s">
        <v>39</v>
      </c>
      <c r="C492" s="3" t="s">
        <v>42</v>
      </c>
      <c r="D492" s="11">
        <v>60000</v>
      </c>
      <c r="E492" s="9" t="str" cm="1">
        <f t="array" ref="E492">_xlfn.IFS(D492&gt;149000, "Very High", D492&gt;99000, "High", D492&gt;59999, "Average", D492&gt;19999, "Low", D492&gt;0, "Poverty")</f>
        <v>Average</v>
      </c>
      <c r="F492" s="3">
        <v>4</v>
      </c>
      <c r="G492" t="s">
        <v>13</v>
      </c>
      <c r="H492" t="s">
        <v>21</v>
      </c>
      <c r="I492" s="3" t="s">
        <v>15</v>
      </c>
      <c r="J492" s="3">
        <v>0</v>
      </c>
      <c r="K492" t="s">
        <v>22</v>
      </c>
      <c r="L492" t="s">
        <v>32</v>
      </c>
      <c r="M492" s="3">
        <v>46</v>
      </c>
      <c r="N492" s="3" t="str" cm="1">
        <f t="array" ref="N492">_xlfn.IFS(M492&gt;59, "Pension Age", M492&gt;44, "Elderly (45+)", M492&gt;29, "Middle Age (30+)", M492&gt;22, "Adult (23+)", M492&gt;15, "Teen/Young Adult (16+)")</f>
        <v>Elderly (45+)</v>
      </c>
      <c r="O492" s="3" t="s">
        <v>18</v>
      </c>
    </row>
    <row r="493" spans="1:15" x14ac:dyDescent="0.3">
      <c r="A493" s="4">
        <v>25065</v>
      </c>
      <c r="B493" s="3" t="s">
        <v>39</v>
      </c>
      <c r="C493" s="3" t="s">
        <v>42</v>
      </c>
      <c r="D493" s="11">
        <v>70000</v>
      </c>
      <c r="E493" s="9" t="str" cm="1">
        <f t="array" ref="E493">_xlfn.IFS(D493&gt;149000, "Very High", D493&gt;99000, "High", D493&gt;59999, "Average", D493&gt;19999, "Low", D493&gt;0, "Poverty")</f>
        <v>Average</v>
      </c>
      <c r="F493" s="3">
        <v>2</v>
      </c>
      <c r="G493" t="s">
        <v>29</v>
      </c>
      <c r="H493" t="s">
        <v>14</v>
      </c>
      <c r="I493" s="3" t="s">
        <v>15</v>
      </c>
      <c r="J493" s="3">
        <v>2</v>
      </c>
      <c r="K493" t="s">
        <v>23</v>
      </c>
      <c r="L493" t="s">
        <v>32</v>
      </c>
      <c r="M493" s="3">
        <v>48</v>
      </c>
      <c r="N493" s="3" t="str" cm="1">
        <f t="array" ref="N493">_xlfn.IFS(M493&gt;59, "Pension Age", M493&gt;44, "Elderly (45+)", M493&gt;29, "Middle Age (30+)", M493&gt;22, "Adult (23+)", M493&gt;15, "Teen/Young Adult (16+)")</f>
        <v>Elderly (45+)</v>
      </c>
      <c r="O493" s="3" t="s">
        <v>18</v>
      </c>
    </row>
    <row r="494" spans="1:15" x14ac:dyDescent="0.3">
      <c r="A494" s="4">
        <v>26238</v>
      </c>
      <c r="B494" s="3" t="s">
        <v>40</v>
      </c>
      <c r="C494" s="3" t="s">
        <v>41</v>
      </c>
      <c r="D494" s="11">
        <v>40000</v>
      </c>
      <c r="E494" s="9" t="str" cm="1">
        <f t="array" ref="E494">_xlfn.IFS(D494&gt;149000, "Very High", D494&gt;99000, "High", D494&gt;59999, "Average", D494&gt;19999, "Low", D494&gt;0, "Poverty")</f>
        <v>Low</v>
      </c>
      <c r="F494" s="3">
        <v>3</v>
      </c>
      <c r="G494" t="s">
        <v>19</v>
      </c>
      <c r="H494" t="s">
        <v>20</v>
      </c>
      <c r="I494" s="3" t="s">
        <v>15</v>
      </c>
      <c r="J494" s="3">
        <v>1</v>
      </c>
      <c r="K494" t="s">
        <v>26</v>
      </c>
      <c r="L494" t="s">
        <v>32</v>
      </c>
      <c r="M494" s="3">
        <v>31</v>
      </c>
      <c r="N494" s="3" t="str" cm="1">
        <f t="array" ref="N494">_xlfn.IFS(M494&gt;59, "Pension Age", M494&gt;44, "Elderly (45+)", M494&gt;29, "Middle Age (30+)", M494&gt;22, "Adult (23+)", M494&gt;15, "Teen/Young Adult (16+)")</f>
        <v>Middle Age (30+)</v>
      </c>
      <c r="O494" s="3" t="s">
        <v>15</v>
      </c>
    </row>
    <row r="495" spans="1:15" x14ac:dyDescent="0.3">
      <c r="A495" s="4">
        <v>23707</v>
      </c>
      <c r="B495" s="3" t="s">
        <v>40</v>
      </c>
      <c r="C495" s="3" t="s">
        <v>42</v>
      </c>
      <c r="D495" s="11">
        <v>70000</v>
      </c>
      <c r="E495" s="9" t="str" cm="1">
        <f t="array" ref="E495">_xlfn.IFS(D495&gt;149000, "Very High", D495&gt;99000, "High", D495&gt;59999, "Average", D495&gt;19999, "Low", D495&gt;0, "Poverty")</f>
        <v>Average</v>
      </c>
      <c r="F495" s="3">
        <v>5</v>
      </c>
      <c r="G495" t="s">
        <v>13</v>
      </c>
      <c r="H495" t="s">
        <v>28</v>
      </c>
      <c r="I495" s="3" t="s">
        <v>15</v>
      </c>
      <c r="J495" s="3">
        <v>3</v>
      </c>
      <c r="K495" t="s">
        <v>30</v>
      </c>
      <c r="L495" t="s">
        <v>32</v>
      </c>
      <c r="M495" s="3">
        <v>60</v>
      </c>
      <c r="N495" s="3" t="str" cm="1">
        <f t="array" ref="N495">_xlfn.IFS(M495&gt;59, "Pension Age", M495&gt;44, "Elderly (45+)", M495&gt;29, "Middle Age (30+)", M495&gt;22, "Adult (23+)", M495&gt;15, "Teen/Young Adult (16+)")</f>
        <v>Pension Age</v>
      </c>
      <c r="O495" s="3" t="s">
        <v>15</v>
      </c>
    </row>
    <row r="496" spans="1:15" x14ac:dyDescent="0.3">
      <c r="A496" s="4">
        <v>27650</v>
      </c>
      <c r="B496" s="3" t="s">
        <v>39</v>
      </c>
      <c r="C496" s="3" t="s">
        <v>42</v>
      </c>
      <c r="D496" s="11">
        <v>70000</v>
      </c>
      <c r="E496" s="9" t="str" cm="1">
        <f t="array" ref="E496">_xlfn.IFS(D496&gt;149000, "Very High", D496&gt;99000, "High", D496&gt;59999, "Average", D496&gt;19999, "Low", D496&gt;0, "Poverty")</f>
        <v>Average</v>
      </c>
      <c r="F496" s="3">
        <v>4</v>
      </c>
      <c r="G496" t="s">
        <v>27</v>
      </c>
      <c r="H496" t="s">
        <v>21</v>
      </c>
      <c r="I496" s="3" t="s">
        <v>15</v>
      </c>
      <c r="J496" s="3">
        <v>0</v>
      </c>
      <c r="K496" t="s">
        <v>23</v>
      </c>
      <c r="L496" t="s">
        <v>32</v>
      </c>
      <c r="M496" s="3">
        <v>51</v>
      </c>
      <c r="N496" s="3" t="str" cm="1">
        <f t="array" ref="N496">_xlfn.IFS(M496&gt;59, "Pension Age", M496&gt;44, "Elderly (45+)", M496&gt;29, "Middle Age (30+)", M496&gt;22, "Adult (23+)", M496&gt;15, "Teen/Young Adult (16+)")</f>
        <v>Elderly (45+)</v>
      </c>
      <c r="O496" s="3" t="s">
        <v>18</v>
      </c>
    </row>
    <row r="497" spans="1:15" x14ac:dyDescent="0.3">
      <c r="A497" s="4">
        <v>24981</v>
      </c>
      <c r="B497" s="3" t="s">
        <v>39</v>
      </c>
      <c r="C497" s="3" t="s">
        <v>42</v>
      </c>
      <c r="D497" s="11">
        <v>60000</v>
      </c>
      <c r="E497" s="9" t="str" cm="1">
        <f t="array" ref="E497">_xlfn.IFS(D497&gt;149000, "Very High", D497&gt;99000, "High", D497&gt;59999, "Average", D497&gt;19999, "Low", D497&gt;0, "Poverty")</f>
        <v>Average</v>
      </c>
      <c r="F497" s="3">
        <v>2</v>
      </c>
      <c r="G497" t="s">
        <v>19</v>
      </c>
      <c r="H497" t="s">
        <v>21</v>
      </c>
      <c r="I497" s="3" t="s">
        <v>15</v>
      </c>
      <c r="J497" s="3">
        <v>2</v>
      </c>
      <c r="K497" t="s">
        <v>30</v>
      </c>
      <c r="L497" t="s">
        <v>32</v>
      </c>
      <c r="M497" s="3">
        <v>56</v>
      </c>
      <c r="N497" s="3" t="str" cm="1">
        <f t="array" ref="N497">_xlfn.IFS(M497&gt;59, "Pension Age", M497&gt;44, "Elderly (45+)", M497&gt;29, "Middle Age (30+)", M497&gt;22, "Adult (23+)", M497&gt;15, "Teen/Young Adult (16+)")</f>
        <v>Elderly (45+)</v>
      </c>
      <c r="O497" s="3" t="s">
        <v>18</v>
      </c>
    </row>
    <row r="498" spans="1:15" x14ac:dyDescent="0.3">
      <c r="A498" s="4">
        <v>20678</v>
      </c>
      <c r="B498" s="3" t="s">
        <v>40</v>
      </c>
      <c r="C498" s="3" t="s">
        <v>41</v>
      </c>
      <c r="D498" s="11">
        <v>60000</v>
      </c>
      <c r="E498" s="9" t="str" cm="1">
        <f t="array" ref="E498">_xlfn.IFS(D498&gt;149000, "Very High", D498&gt;99000, "High", D498&gt;59999, "Average", D498&gt;19999, "Low", D498&gt;0, "Poverty")</f>
        <v>Average</v>
      </c>
      <c r="F498" s="3">
        <v>3</v>
      </c>
      <c r="G498" t="s">
        <v>13</v>
      </c>
      <c r="H498" t="s">
        <v>14</v>
      </c>
      <c r="I498" s="3" t="s">
        <v>15</v>
      </c>
      <c r="J498" s="3">
        <v>1</v>
      </c>
      <c r="K498" t="s">
        <v>22</v>
      </c>
      <c r="L498" t="s">
        <v>32</v>
      </c>
      <c r="M498" s="3">
        <v>40</v>
      </c>
      <c r="N498" s="3" t="str" cm="1">
        <f t="array" ref="N498">_xlfn.IFS(M498&gt;59, "Pension Age", M498&gt;44, "Elderly (45+)", M498&gt;29, "Middle Age (30+)", M498&gt;22, "Adult (23+)", M498&gt;15, "Teen/Young Adult (16+)")</f>
        <v>Middle Age (30+)</v>
      </c>
      <c r="O498" s="3" t="s">
        <v>15</v>
      </c>
    </row>
    <row r="499" spans="1:15" x14ac:dyDescent="0.3">
      <c r="A499" s="4">
        <v>15302</v>
      </c>
      <c r="B499" s="3" t="s">
        <v>40</v>
      </c>
      <c r="C499" s="3" t="s">
        <v>41</v>
      </c>
      <c r="D499" s="11">
        <v>70000</v>
      </c>
      <c r="E499" s="9" t="str" cm="1">
        <f t="array" ref="E499">_xlfn.IFS(D499&gt;149000, "Very High", D499&gt;99000, "High", D499&gt;59999, "Average", D499&gt;19999, "Low", D499&gt;0, "Poverty")</f>
        <v>Average</v>
      </c>
      <c r="F499" s="3">
        <v>1</v>
      </c>
      <c r="G499" t="s">
        <v>31</v>
      </c>
      <c r="H499" t="s">
        <v>21</v>
      </c>
      <c r="I499" s="3" t="s">
        <v>15</v>
      </c>
      <c r="J499" s="3">
        <v>0</v>
      </c>
      <c r="K499" t="s">
        <v>22</v>
      </c>
      <c r="L499" t="s">
        <v>32</v>
      </c>
      <c r="M499" s="3">
        <v>34</v>
      </c>
      <c r="N499" s="3" t="str" cm="1">
        <f t="array" ref="N499">_xlfn.IFS(M499&gt;59, "Pension Age", M499&gt;44, "Elderly (45+)", M499&gt;29, "Middle Age (30+)", M499&gt;22, "Adult (23+)", M499&gt;15, "Teen/Young Adult (16+)")</f>
        <v>Middle Age (30+)</v>
      </c>
      <c r="O499" s="3" t="s">
        <v>15</v>
      </c>
    </row>
    <row r="500" spans="1:15" x14ac:dyDescent="0.3">
      <c r="A500" s="4">
        <v>26012</v>
      </c>
      <c r="B500" s="3" t="s">
        <v>39</v>
      </c>
      <c r="C500" s="3" t="s">
        <v>42</v>
      </c>
      <c r="D500" s="11">
        <v>80000</v>
      </c>
      <c r="E500" s="9" t="str" cm="1">
        <f t="array" ref="E500">_xlfn.IFS(D500&gt;149000, "Very High", D500&gt;99000, "High", D500&gt;59999, "Average", D500&gt;19999, "Low", D500&gt;0, "Poverty")</f>
        <v>Average</v>
      </c>
      <c r="F500" s="3">
        <v>1</v>
      </c>
      <c r="G500" t="s">
        <v>19</v>
      </c>
      <c r="H500" t="s">
        <v>14</v>
      </c>
      <c r="I500" s="3" t="s">
        <v>15</v>
      </c>
      <c r="J500" s="3">
        <v>1</v>
      </c>
      <c r="K500" t="s">
        <v>22</v>
      </c>
      <c r="L500" t="s">
        <v>32</v>
      </c>
      <c r="M500" s="3">
        <v>48</v>
      </c>
      <c r="N500" s="3" t="str" cm="1">
        <f t="array" ref="N500">_xlfn.IFS(M500&gt;59, "Pension Age", M500&gt;44, "Elderly (45+)", M500&gt;29, "Middle Age (30+)", M500&gt;22, "Adult (23+)", M500&gt;15, "Teen/Young Adult (16+)")</f>
        <v>Elderly (45+)</v>
      </c>
      <c r="O500" s="3" t="s">
        <v>15</v>
      </c>
    </row>
    <row r="501" spans="1:15" x14ac:dyDescent="0.3">
      <c r="A501" s="4">
        <v>26575</v>
      </c>
      <c r="B501" s="3" t="s">
        <v>40</v>
      </c>
      <c r="C501" s="3" t="s">
        <v>41</v>
      </c>
      <c r="D501" s="11">
        <v>40000</v>
      </c>
      <c r="E501" s="9" t="str" cm="1">
        <f t="array" ref="E501">_xlfn.IFS(D501&gt;149000, "Very High", D501&gt;99000, "High", D501&gt;59999, "Average", D501&gt;19999, "Low", D501&gt;0, "Poverty")</f>
        <v>Low</v>
      </c>
      <c r="F501" s="3">
        <v>0</v>
      </c>
      <c r="G501" t="s">
        <v>27</v>
      </c>
      <c r="H501" t="s">
        <v>14</v>
      </c>
      <c r="I501" s="3" t="s">
        <v>18</v>
      </c>
      <c r="J501" s="3">
        <v>2</v>
      </c>
      <c r="K501" t="s">
        <v>26</v>
      </c>
      <c r="L501" t="s">
        <v>32</v>
      </c>
      <c r="M501" s="3">
        <v>31</v>
      </c>
      <c r="N501" s="3" t="str" cm="1">
        <f t="array" ref="N501">_xlfn.IFS(M501&gt;59, "Pension Age", M501&gt;44, "Elderly (45+)", M501&gt;29, "Middle Age (30+)", M501&gt;22, "Adult (23+)", M501&gt;15, "Teen/Young Adult (16+)")</f>
        <v>Middle Age (30+)</v>
      </c>
      <c r="O501" s="3" t="s">
        <v>15</v>
      </c>
    </row>
    <row r="502" spans="1:15" x14ac:dyDescent="0.3">
      <c r="A502" s="4">
        <v>15559</v>
      </c>
      <c r="B502" s="3" t="s">
        <v>39</v>
      </c>
      <c r="C502" s="3" t="s">
        <v>42</v>
      </c>
      <c r="D502" s="11">
        <v>60000</v>
      </c>
      <c r="E502" s="9" t="str" cm="1">
        <f t="array" ref="E502">_xlfn.IFS(D502&gt;149000, "Very High", D502&gt;99000, "High", D502&gt;59999, "Average", D502&gt;19999, "Low", D502&gt;0, "Poverty")</f>
        <v>Average</v>
      </c>
      <c r="F502" s="3">
        <v>5</v>
      </c>
      <c r="G502" t="s">
        <v>13</v>
      </c>
      <c r="H502" t="s">
        <v>21</v>
      </c>
      <c r="I502" s="3" t="s">
        <v>15</v>
      </c>
      <c r="J502" s="3">
        <v>1</v>
      </c>
      <c r="K502" t="s">
        <v>22</v>
      </c>
      <c r="L502" t="s">
        <v>32</v>
      </c>
      <c r="M502" s="3">
        <v>47</v>
      </c>
      <c r="N502" s="3" t="str" cm="1">
        <f t="array" ref="N502">_xlfn.IFS(M502&gt;59, "Pension Age", M502&gt;44, "Elderly (45+)", M502&gt;29, "Middle Age (30+)", M502&gt;22, "Adult (23+)", M502&gt;15, "Teen/Young Adult (16+)")</f>
        <v>Elderly (45+)</v>
      </c>
      <c r="O502" s="3" t="s">
        <v>18</v>
      </c>
    </row>
    <row r="503" spans="1:15" x14ac:dyDescent="0.3">
      <c r="A503" s="4">
        <v>19235</v>
      </c>
      <c r="B503" s="3" t="s">
        <v>39</v>
      </c>
      <c r="C503" s="3" t="s">
        <v>41</v>
      </c>
      <c r="D503" s="11">
        <v>50000</v>
      </c>
      <c r="E503" s="9" t="str" cm="1">
        <f t="array" ref="E503">_xlfn.IFS(D503&gt;149000, "Very High", D503&gt;99000, "High", D503&gt;59999, "Average", D503&gt;19999, "Low", D503&gt;0, "Poverty")</f>
        <v>Low</v>
      </c>
      <c r="F503" s="3">
        <v>0</v>
      </c>
      <c r="G503" t="s">
        <v>31</v>
      </c>
      <c r="H503" t="s">
        <v>14</v>
      </c>
      <c r="I503" s="3" t="s">
        <v>15</v>
      </c>
      <c r="J503" s="3">
        <v>0</v>
      </c>
      <c r="K503" t="s">
        <v>16</v>
      </c>
      <c r="L503" t="s">
        <v>32</v>
      </c>
      <c r="M503" s="3">
        <v>34</v>
      </c>
      <c r="N503" s="3" t="str" cm="1">
        <f t="array" ref="N503">_xlfn.IFS(M503&gt;59, "Pension Age", M503&gt;44, "Elderly (45+)", M503&gt;29, "Middle Age (30+)", M503&gt;22, "Adult (23+)", M503&gt;15, "Teen/Young Adult (16+)")</f>
        <v>Middle Age (30+)</v>
      </c>
      <c r="O503" s="3" t="s">
        <v>18</v>
      </c>
    </row>
    <row r="504" spans="1:15" x14ac:dyDescent="0.3">
      <c r="A504" s="4">
        <v>15275</v>
      </c>
      <c r="B504" s="3" t="s">
        <v>39</v>
      </c>
      <c r="C504" s="3" t="s">
        <v>42</v>
      </c>
      <c r="D504" s="11">
        <v>40000</v>
      </c>
      <c r="E504" s="9" t="str" cm="1">
        <f t="array" ref="E504">_xlfn.IFS(D504&gt;149000, "Very High", D504&gt;99000, "High", D504&gt;59999, "Average", D504&gt;19999, "Low", D504&gt;0, "Poverty")</f>
        <v>Low</v>
      </c>
      <c r="F504" s="3">
        <v>0</v>
      </c>
      <c r="G504" t="s">
        <v>19</v>
      </c>
      <c r="H504" t="s">
        <v>14</v>
      </c>
      <c r="I504" s="3" t="s">
        <v>15</v>
      </c>
      <c r="J504" s="3">
        <v>1</v>
      </c>
      <c r="K504" t="s">
        <v>23</v>
      </c>
      <c r="L504" t="s">
        <v>32</v>
      </c>
      <c r="M504" s="3">
        <v>29</v>
      </c>
      <c r="N504" s="3" t="str" cm="1">
        <f t="array" ref="N504">_xlfn.IFS(M504&gt;59, "Pension Age", M504&gt;44, "Elderly (45+)", M504&gt;29, "Middle Age (30+)", M504&gt;22, "Adult (23+)", M504&gt;15, "Teen/Young Adult (16+)")</f>
        <v>Adult (23+)</v>
      </c>
      <c r="O504" s="3" t="s">
        <v>18</v>
      </c>
    </row>
    <row r="505" spans="1:15" x14ac:dyDescent="0.3">
      <c r="A505" s="4">
        <v>20339</v>
      </c>
      <c r="B505" s="3" t="s">
        <v>39</v>
      </c>
      <c r="C505" s="3" t="s">
        <v>41</v>
      </c>
      <c r="D505" s="11">
        <v>130000</v>
      </c>
      <c r="E505" s="9" t="str" cm="1">
        <f t="array" ref="E505">_xlfn.IFS(D505&gt;149000, "Very High", D505&gt;99000, "High", D505&gt;59999, "Average", D505&gt;19999, "Low", D505&gt;0, "Poverty")</f>
        <v>High</v>
      </c>
      <c r="F505" s="3">
        <v>1</v>
      </c>
      <c r="G505" t="s">
        <v>13</v>
      </c>
      <c r="H505" t="s">
        <v>28</v>
      </c>
      <c r="I505" s="3" t="s">
        <v>15</v>
      </c>
      <c r="J505" s="3">
        <v>4</v>
      </c>
      <c r="K505" t="s">
        <v>22</v>
      </c>
      <c r="L505" t="s">
        <v>32</v>
      </c>
      <c r="M505" s="3">
        <v>44</v>
      </c>
      <c r="N505" s="3" t="str" cm="1">
        <f t="array" ref="N505">_xlfn.IFS(M505&gt;59, "Pension Age", M505&gt;44, "Elderly (45+)", M505&gt;29, "Middle Age (30+)", M505&gt;22, "Adult (23+)", M505&gt;15, "Teen/Young Adult (16+)")</f>
        <v>Middle Age (30+)</v>
      </c>
      <c r="O505" s="3" t="s">
        <v>15</v>
      </c>
    </row>
    <row r="506" spans="1:15" x14ac:dyDescent="0.3">
      <c r="A506" s="4">
        <v>25405</v>
      </c>
      <c r="B506" s="3" t="s">
        <v>39</v>
      </c>
      <c r="C506" s="3" t="s">
        <v>42</v>
      </c>
      <c r="D506" s="11">
        <v>70000</v>
      </c>
      <c r="E506" s="9" t="str" cm="1">
        <f t="array" ref="E506">_xlfn.IFS(D506&gt;149000, "Very High", D506&gt;99000, "High", D506&gt;59999, "Average", D506&gt;19999, "Low", D506&gt;0, "Poverty")</f>
        <v>Average</v>
      </c>
      <c r="F506" s="3">
        <v>2</v>
      </c>
      <c r="G506" t="s">
        <v>13</v>
      </c>
      <c r="H506" t="s">
        <v>14</v>
      </c>
      <c r="I506" s="3" t="s">
        <v>15</v>
      </c>
      <c r="J506" s="3">
        <v>1</v>
      </c>
      <c r="K506" t="s">
        <v>22</v>
      </c>
      <c r="L506" t="s">
        <v>32</v>
      </c>
      <c r="M506" s="3">
        <v>38</v>
      </c>
      <c r="N506" s="3" t="str" cm="1">
        <f t="array" ref="N506">_xlfn.IFS(M506&gt;59, "Pension Age", M506&gt;44, "Elderly (45+)", M506&gt;29, "Middle Age (30+)", M506&gt;22, "Adult (23+)", M506&gt;15, "Teen/Young Adult (16+)")</f>
        <v>Middle Age (30+)</v>
      </c>
      <c r="O506" s="3" t="s">
        <v>15</v>
      </c>
    </row>
    <row r="507" spans="1:15" x14ac:dyDescent="0.3">
      <c r="A507" s="4">
        <v>15940</v>
      </c>
      <c r="B507" s="3" t="s">
        <v>39</v>
      </c>
      <c r="C507" s="3" t="s">
        <v>42</v>
      </c>
      <c r="D507" s="11">
        <v>100000</v>
      </c>
      <c r="E507" s="9" t="str" cm="1">
        <f t="array" ref="E507">_xlfn.IFS(D507&gt;149000, "Very High", D507&gt;99000, "High", D507&gt;59999, "Average", D507&gt;19999, "Low", D507&gt;0, "Poverty")</f>
        <v>High</v>
      </c>
      <c r="F507" s="3">
        <v>4</v>
      </c>
      <c r="G507" t="s">
        <v>19</v>
      </c>
      <c r="H507" t="s">
        <v>21</v>
      </c>
      <c r="I507" s="3" t="s">
        <v>15</v>
      </c>
      <c r="J507" s="3">
        <v>4</v>
      </c>
      <c r="K507" t="s">
        <v>16</v>
      </c>
      <c r="L507" t="s">
        <v>32</v>
      </c>
      <c r="M507" s="3">
        <v>40</v>
      </c>
      <c r="N507" s="3" t="str" cm="1">
        <f t="array" ref="N507">_xlfn.IFS(M507&gt;59, "Pension Age", M507&gt;44, "Elderly (45+)", M507&gt;29, "Middle Age (30+)", M507&gt;22, "Adult (23+)", M507&gt;15, "Teen/Young Adult (16+)")</f>
        <v>Middle Age (30+)</v>
      </c>
      <c r="O507" s="3" t="s">
        <v>18</v>
      </c>
    </row>
    <row r="508" spans="1:15" x14ac:dyDescent="0.3">
      <c r="A508" s="4">
        <v>25074</v>
      </c>
      <c r="B508" s="3" t="s">
        <v>39</v>
      </c>
      <c r="C508" s="3" t="s">
        <v>41</v>
      </c>
      <c r="D508" s="11">
        <v>70000</v>
      </c>
      <c r="E508" s="9" t="str" cm="1">
        <f t="array" ref="E508">_xlfn.IFS(D508&gt;149000, "Very High", D508&gt;99000, "High", D508&gt;59999, "Average", D508&gt;19999, "Low", D508&gt;0, "Poverty")</f>
        <v>Average</v>
      </c>
      <c r="F508" s="3">
        <v>4</v>
      </c>
      <c r="G508" t="s">
        <v>13</v>
      </c>
      <c r="H508" t="s">
        <v>21</v>
      </c>
      <c r="I508" s="3" t="s">
        <v>15</v>
      </c>
      <c r="J508" s="3">
        <v>2</v>
      </c>
      <c r="K508" t="s">
        <v>22</v>
      </c>
      <c r="L508" t="s">
        <v>32</v>
      </c>
      <c r="M508" s="3">
        <v>42</v>
      </c>
      <c r="N508" s="3" t="str" cm="1">
        <f t="array" ref="N508">_xlfn.IFS(M508&gt;59, "Pension Age", M508&gt;44, "Elderly (45+)", M508&gt;29, "Middle Age (30+)", M508&gt;22, "Adult (23+)", M508&gt;15, "Teen/Young Adult (16+)")</f>
        <v>Middle Age (30+)</v>
      </c>
      <c r="O508" s="3" t="s">
        <v>15</v>
      </c>
    </row>
    <row r="509" spans="1:15" x14ac:dyDescent="0.3">
      <c r="A509" s="4">
        <v>24738</v>
      </c>
      <c r="B509" s="3" t="s">
        <v>39</v>
      </c>
      <c r="C509" s="3" t="s">
        <v>41</v>
      </c>
      <c r="D509" s="11">
        <v>40000</v>
      </c>
      <c r="E509" s="9" t="str" cm="1">
        <f t="array" ref="E509">_xlfn.IFS(D509&gt;149000, "Very High", D509&gt;99000, "High", D509&gt;59999, "Average", D509&gt;19999, "Low", D509&gt;0, "Poverty")</f>
        <v>Low</v>
      </c>
      <c r="F509" s="3">
        <v>1</v>
      </c>
      <c r="G509" t="s">
        <v>19</v>
      </c>
      <c r="H509" t="s">
        <v>20</v>
      </c>
      <c r="I509" s="3" t="s">
        <v>15</v>
      </c>
      <c r="J509" s="3">
        <v>1</v>
      </c>
      <c r="K509" t="s">
        <v>26</v>
      </c>
      <c r="L509" t="s">
        <v>32</v>
      </c>
      <c r="M509" s="3">
        <v>51</v>
      </c>
      <c r="N509" s="3" t="str" cm="1">
        <f t="array" ref="N509">_xlfn.IFS(M509&gt;59, "Pension Age", M509&gt;44, "Elderly (45+)", M509&gt;29, "Middle Age (30+)", M509&gt;22, "Adult (23+)", M509&gt;15, "Teen/Young Adult (16+)")</f>
        <v>Elderly (45+)</v>
      </c>
      <c r="O509" s="3" t="s">
        <v>15</v>
      </c>
    </row>
    <row r="510" spans="1:15" x14ac:dyDescent="0.3">
      <c r="A510" s="4">
        <v>16337</v>
      </c>
      <c r="B510" s="3" t="s">
        <v>39</v>
      </c>
      <c r="C510" s="3" t="s">
        <v>42</v>
      </c>
      <c r="D510" s="11">
        <v>60000</v>
      </c>
      <c r="E510" s="9" t="str" cm="1">
        <f t="array" ref="E510">_xlfn.IFS(D510&gt;149000, "Very High", D510&gt;99000, "High", D510&gt;59999, "Average", D510&gt;19999, "Low", D510&gt;0, "Poverty")</f>
        <v>Average</v>
      </c>
      <c r="F510" s="3">
        <v>0</v>
      </c>
      <c r="G510" t="s">
        <v>19</v>
      </c>
      <c r="H510" t="s">
        <v>14</v>
      </c>
      <c r="I510" s="3" t="s">
        <v>18</v>
      </c>
      <c r="J510" s="3">
        <v>2</v>
      </c>
      <c r="K510" t="s">
        <v>26</v>
      </c>
      <c r="L510" t="s">
        <v>32</v>
      </c>
      <c r="M510" s="3">
        <v>29</v>
      </c>
      <c r="N510" s="3" t="str" cm="1">
        <f t="array" ref="N510">_xlfn.IFS(M510&gt;59, "Pension Age", M510&gt;44, "Elderly (45+)", M510&gt;29, "Middle Age (30+)", M510&gt;22, "Adult (23+)", M510&gt;15, "Teen/Young Adult (16+)")</f>
        <v>Adult (23+)</v>
      </c>
      <c r="O510" s="3" t="s">
        <v>18</v>
      </c>
    </row>
    <row r="511" spans="1:15" x14ac:dyDescent="0.3">
      <c r="A511" s="4">
        <v>24357</v>
      </c>
      <c r="B511" s="3" t="s">
        <v>39</v>
      </c>
      <c r="C511" s="3" t="s">
        <v>42</v>
      </c>
      <c r="D511" s="11">
        <v>80000</v>
      </c>
      <c r="E511" s="9" t="str" cm="1">
        <f t="array" ref="E511">_xlfn.IFS(D511&gt;149000, "Very High", D511&gt;99000, "High", D511&gt;59999, "Average", D511&gt;19999, "Low", D511&gt;0, "Poverty")</f>
        <v>Average</v>
      </c>
      <c r="F511" s="3">
        <v>3</v>
      </c>
      <c r="G511" t="s">
        <v>13</v>
      </c>
      <c r="H511" t="s">
        <v>21</v>
      </c>
      <c r="I511" s="3" t="s">
        <v>15</v>
      </c>
      <c r="J511" s="3">
        <v>1</v>
      </c>
      <c r="K511" t="s">
        <v>22</v>
      </c>
      <c r="L511" t="s">
        <v>32</v>
      </c>
      <c r="M511" s="3">
        <v>48</v>
      </c>
      <c r="N511" s="3" t="str" cm="1">
        <f t="array" ref="N511">_xlfn.IFS(M511&gt;59, "Pension Age", M511&gt;44, "Elderly (45+)", M511&gt;29, "Middle Age (30+)", M511&gt;22, "Adult (23+)", M511&gt;15, "Teen/Young Adult (16+)")</f>
        <v>Elderly (45+)</v>
      </c>
      <c r="O511" s="3" t="s">
        <v>15</v>
      </c>
    </row>
    <row r="512" spans="1:15" x14ac:dyDescent="0.3">
      <c r="A512" s="4">
        <v>18613</v>
      </c>
      <c r="B512" s="3" t="s">
        <v>40</v>
      </c>
      <c r="C512" s="3" t="s">
        <v>42</v>
      </c>
      <c r="D512" s="11">
        <v>70000</v>
      </c>
      <c r="E512" s="9" t="str" cm="1">
        <f t="array" ref="E512">_xlfn.IFS(D512&gt;149000, "Very High", D512&gt;99000, "High", D512&gt;59999, "Average", D512&gt;19999, "Low", D512&gt;0, "Poverty")</f>
        <v>Average</v>
      </c>
      <c r="F512" s="3">
        <v>0</v>
      </c>
      <c r="G512" t="s">
        <v>13</v>
      </c>
      <c r="H512" t="s">
        <v>21</v>
      </c>
      <c r="I512" s="3" t="s">
        <v>18</v>
      </c>
      <c r="J512" s="3">
        <v>1</v>
      </c>
      <c r="K512" t="s">
        <v>22</v>
      </c>
      <c r="L512" t="s">
        <v>32</v>
      </c>
      <c r="M512" s="3">
        <v>37</v>
      </c>
      <c r="N512" s="3" t="str" cm="1">
        <f t="array" ref="N512">_xlfn.IFS(M512&gt;59, "Pension Age", M512&gt;44, "Elderly (45+)", M512&gt;29, "Middle Age (30+)", M512&gt;22, "Adult (23+)", M512&gt;15, "Teen/Young Adult (16+)")</f>
        <v>Middle Age (30+)</v>
      </c>
      <c r="O512" s="3" t="s">
        <v>15</v>
      </c>
    </row>
    <row r="513" spans="1:15" x14ac:dyDescent="0.3">
      <c r="A513" s="4">
        <v>12207</v>
      </c>
      <c r="B513" s="3" t="s">
        <v>40</v>
      </c>
      <c r="C513" s="3" t="s">
        <v>42</v>
      </c>
      <c r="D513" s="11">
        <v>80000</v>
      </c>
      <c r="E513" s="9" t="str" cm="1">
        <f t="array" ref="E513">_xlfn.IFS(D513&gt;149000, "Very High", D513&gt;99000, "High", D513&gt;59999, "Average", D513&gt;19999, "Low", D513&gt;0, "Poverty")</f>
        <v>Average</v>
      </c>
      <c r="F513" s="3">
        <v>4</v>
      </c>
      <c r="G513" t="s">
        <v>13</v>
      </c>
      <c r="H513" t="s">
        <v>28</v>
      </c>
      <c r="I513" s="3" t="s">
        <v>15</v>
      </c>
      <c r="J513" s="3">
        <v>0</v>
      </c>
      <c r="K513" t="s">
        <v>23</v>
      </c>
      <c r="L513" t="s">
        <v>32</v>
      </c>
      <c r="M513" s="3">
        <v>66</v>
      </c>
      <c r="N513" s="3" t="str" cm="1">
        <f t="array" ref="N513">_xlfn.IFS(M513&gt;59, "Pension Age", M513&gt;44, "Elderly (45+)", M513&gt;29, "Middle Age (30+)", M513&gt;22, "Adult (23+)", M513&gt;15, "Teen/Young Adult (16+)")</f>
        <v>Pension Age</v>
      </c>
      <c r="O513" s="3" t="s">
        <v>15</v>
      </c>
    </row>
    <row r="514" spans="1:15" x14ac:dyDescent="0.3">
      <c r="A514" s="4">
        <v>18052</v>
      </c>
      <c r="B514" s="3" t="s">
        <v>39</v>
      </c>
      <c r="C514" s="3" t="s">
        <v>41</v>
      </c>
      <c r="D514" s="11">
        <v>60000</v>
      </c>
      <c r="E514" s="9" t="str" cm="1">
        <f t="array" ref="E514">_xlfn.IFS(D514&gt;149000, "Very High", D514&gt;99000, "High", D514&gt;59999, "Average", D514&gt;19999, "Low", D514&gt;0, "Poverty")</f>
        <v>Average</v>
      </c>
      <c r="F514" s="3">
        <v>1</v>
      </c>
      <c r="G514" t="s">
        <v>19</v>
      </c>
      <c r="H514" t="s">
        <v>14</v>
      </c>
      <c r="I514" s="3" t="s">
        <v>15</v>
      </c>
      <c r="J514" s="3">
        <v>1</v>
      </c>
      <c r="K514" t="s">
        <v>16</v>
      </c>
      <c r="L514" t="s">
        <v>32</v>
      </c>
      <c r="M514" s="3">
        <v>45</v>
      </c>
      <c r="N514" s="3" t="str" cm="1">
        <f t="array" ref="N514">_xlfn.IFS(M514&gt;59, "Pension Age", M514&gt;44, "Elderly (45+)", M514&gt;29, "Middle Age (30+)", M514&gt;22, "Adult (23+)", M514&gt;15, "Teen/Young Adult (16+)")</f>
        <v>Elderly (45+)</v>
      </c>
      <c r="O514" s="3" t="s">
        <v>15</v>
      </c>
    </row>
    <row r="515" spans="1:15" x14ac:dyDescent="0.3">
      <c r="A515" s="4">
        <v>13353</v>
      </c>
      <c r="B515" s="3" t="s">
        <v>40</v>
      </c>
      <c r="C515" s="3" t="s">
        <v>41</v>
      </c>
      <c r="D515" s="11">
        <v>60000</v>
      </c>
      <c r="E515" s="9" t="str" cm="1">
        <f t="array" ref="E515">_xlfn.IFS(D515&gt;149000, "Very High", D515&gt;99000, "High", D515&gt;59999, "Average", D515&gt;19999, "Low", D515&gt;0, "Poverty")</f>
        <v>Average</v>
      </c>
      <c r="F515" s="3">
        <v>4</v>
      </c>
      <c r="G515" t="s">
        <v>31</v>
      </c>
      <c r="H515" t="s">
        <v>28</v>
      </c>
      <c r="I515" s="3" t="s">
        <v>15</v>
      </c>
      <c r="J515" s="3">
        <v>2</v>
      </c>
      <c r="K515" t="s">
        <v>30</v>
      </c>
      <c r="L515" t="s">
        <v>32</v>
      </c>
      <c r="M515" s="3">
        <v>61</v>
      </c>
      <c r="N515" s="3" t="str" cm="1">
        <f t="array" ref="N515">_xlfn.IFS(M515&gt;59, "Pension Age", M515&gt;44, "Elderly (45+)", M515&gt;29, "Middle Age (30+)", M515&gt;22, "Adult (23+)", M515&gt;15, "Teen/Young Adult (16+)")</f>
        <v>Pension Age</v>
      </c>
      <c r="O515" s="3" t="s">
        <v>15</v>
      </c>
    </row>
    <row r="516" spans="1:15" x14ac:dyDescent="0.3">
      <c r="A516" s="4">
        <v>19399</v>
      </c>
      <c r="B516" s="3" t="s">
        <v>40</v>
      </c>
      <c r="C516" s="3" t="s">
        <v>42</v>
      </c>
      <c r="D516" s="11">
        <v>40000</v>
      </c>
      <c r="E516" s="9" t="str" cm="1">
        <f t="array" ref="E516">_xlfn.IFS(D516&gt;149000, "Very High", D516&gt;99000, "High", D516&gt;59999, "Average", D516&gt;19999, "Low", D516&gt;0, "Poverty")</f>
        <v>Low</v>
      </c>
      <c r="F516" s="3">
        <v>0</v>
      </c>
      <c r="G516" t="s">
        <v>13</v>
      </c>
      <c r="H516" t="s">
        <v>21</v>
      </c>
      <c r="I516" s="3" t="s">
        <v>18</v>
      </c>
      <c r="J516" s="3">
        <v>1</v>
      </c>
      <c r="K516" t="s">
        <v>22</v>
      </c>
      <c r="L516" t="s">
        <v>32</v>
      </c>
      <c r="M516" s="3">
        <v>45</v>
      </c>
      <c r="N516" s="3" t="str" cm="1">
        <f t="array" ref="N516">_xlfn.IFS(M516&gt;59, "Pension Age", M516&gt;44, "Elderly (45+)", M516&gt;29, "Middle Age (30+)", M516&gt;22, "Adult (23+)", M516&gt;15, "Teen/Young Adult (16+)")</f>
        <v>Elderly (45+)</v>
      </c>
      <c r="O516" s="3" t="s">
        <v>18</v>
      </c>
    </row>
    <row r="517" spans="1:15" x14ac:dyDescent="0.3">
      <c r="A517" s="4">
        <v>16154</v>
      </c>
      <c r="B517" s="3" t="s">
        <v>39</v>
      </c>
      <c r="C517" s="3" t="s">
        <v>41</v>
      </c>
      <c r="D517" s="11">
        <v>70000</v>
      </c>
      <c r="E517" s="9" t="str" cm="1">
        <f t="array" ref="E517">_xlfn.IFS(D517&gt;149000, "Very High", D517&gt;99000, "High", D517&gt;59999, "Average", D517&gt;19999, "Low", D517&gt;0, "Poverty")</f>
        <v>Average</v>
      </c>
      <c r="F517" s="3">
        <v>5</v>
      </c>
      <c r="G517" t="s">
        <v>13</v>
      </c>
      <c r="H517" t="s">
        <v>21</v>
      </c>
      <c r="I517" s="3" t="s">
        <v>15</v>
      </c>
      <c r="J517" s="3">
        <v>2</v>
      </c>
      <c r="K517" t="s">
        <v>22</v>
      </c>
      <c r="L517" t="s">
        <v>32</v>
      </c>
      <c r="M517" s="3">
        <v>47</v>
      </c>
      <c r="N517" s="3" t="str" cm="1">
        <f t="array" ref="N517">_xlfn.IFS(M517&gt;59, "Pension Age", M517&gt;44, "Elderly (45+)", M517&gt;29, "Middle Age (30+)", M517&gt;22, "Adult (23+)", M517&gt;15, "Teen/Young Adult (16+)")</f>
        <v>Elderly (45+)</v>
      </c>
      <c r="O517" s="3" t="s">
        <v>18</v>
      </c>
    </row>
    <row r="518" spans="1:15" x14ac:dyDescent="0.3">
      <c r="A518" s="4">
        <v>22219</v>
      </c>
      <c r="B518" s="3" t="s">
        <v>39</v>
      </c>
      <c r="C518" s="3" t="s">
        <v>41</v>
      </c>
      <c r="D518" s="11">
        <v>60000</v>
      </c>
      <c r="E518" s="9" t="str" cm="1">
        <f t="array" ref="E518">_xlfn.IFS(D518&gt;149000, "Very High", D518&gt;99000, "High", D518&gt;59999, "Average", D518&gt;19999, "Low", D518&gt;0, "Poverty")</f>
        <v>Average</v>
      </c>
      <c r="F518" s="3">
        <v>2</v>
      </c>
      <c r="G518" t="s">
        <v>27</v>
      </c>
      <c r="H518" t="s">
        <v>21</v>
      </c>
      <c r="I518" s="3" t="s">
        <v>15</v>
      </c>
      <c r="J518" s="3">
        <v>2</v>
      </c>
      <c r="K518" t="s">
        <v>23</v>
      </c>
      <c r="L518" t="s">
        <v>32</v>
      </c>
      <c r="M518" s="3">
        <v>49</v>
      </c>
      <c r="N518" s="3" t="str" cm="1">
        <f t="array" ref="N518">_xlfn.IFS(M518&gt;59, "Pension Age", M518&gt;44, "Elderly (45+)", M518&gt;29, "Middle Age (30+)", M518&gt;22, "Adult (23+)", M518&gt;15, "Teen/Young Adult (16+)")</f>
        <v>Elderly (45+)</v>
      </c>
      <c r="O518" s="3" t="s">
        <v>18</v>
      </c>
    </row>
    <row r="519" spans="1:15" x14ac:dyDescent="0.3">
      <c r="A519" s="4">
        <v>17269</v>
      </c>
      <c r="B519" s="3" t="s">
        <v>40</v>
      </c>
      <c r="C519" s="3" t="s">
        <v>42</v>
      </c>
      <c r="D519" s="11">
        <v>60000</v>
      </c>
      <c r="E519" s="9" t="str" cm="1">
        <f t="array" ref="E519">_xlfn.IFS(D519&gt;149000, "Very High", D519&gt;99000, "High", D519&gt;59999, "Average", D519&gt;19999, "Low", D519&gt;0, "Poverty")</f>
        <v>Average</v>
      </c>
      <c r="F519" s="3">
        <v>3</v>
      </c>
      <c r="G519" t="s">
        <v>13</v>
      </c>
      <c r="H519" t="s">
        <v>21</v>
      </c>
      <c r="I519" s="3" t="s">
        <v>18</v>
      </c>
      <c r="J519" s="3">
        <v>0</v>
      </c>
      <c r="K519" t="s">
        <v>16</v>
      </c>
      <c r="L519" t="s">
        <v>32</v>
      </c>
      <c r="M519" s="3">
        <v>47</v>
      </c>
      <c r="N519" s="3" t="str" cm="1">
        <f t="array" ref="N519">_xlfn.IFS(M519&gt;59, "Pension Age", M519&gt;44, "Elderly (45+)", M519&gt;29, "Middle Age (30+)", M519&gt;22, "Adult (23+)", M519&gt;15, "Teen/Young Adult (16+)")</f>
        <v>Elderly (45+)</v>
      </c>
      <c r="O519" s="3" t="s">
        <v>15</v>
      </c>
    </row>
    <row r="520" spans="1:15" x14ac:dyDescent="0.3">
      <c r="A520" s="4">
        <v>23586</v>
      </c>
      <c r="B520" s="3" t="s">
        <v>39</v>
      </c>
      <c r="C520" s="3" t="s">
        <v>41</v>
      </c>
      <c r="D520" s="11">
        <v>80000</v>
      </c>
      <c r="E520" s="9" t="str" cm="1">
        <f t="array" ref="E520">_xlfn.IFS(D520&gt;149000, "Very High", D520&gt;99000, "High", D520&gt;59999, "Average", D520&gt;19999, "Low", D520&gt;0, "Poverty")</f>
        <v>Average</v>
      </c>
      <c r="F520" s="3">
        <v>0</v>
      </c>
      <c r="G520" t="s">
        <v>13</v>
      </c>
      <c r="H520" t="s">
        <v>28</v>
      </c>
      <c r="I520" s="3" t="s">
        <v>15</v>
      </c>
      <c r="J520" s="3">
        <v>1</v>
      </c>
      <c r="K520" t="s">
        <v>26</v>
      </c>
      <c r="L520" t="s">
        <v>32</v>
      </c>
      <c r="M520" s="3">
        <v>34</v>
      </c>
      <c r="N520" s="3" t="str" cm="1">
        <f t="array" ref="N520">_xlfn.IFS(M520&gt;59, "Pension Age", M520&gt;44, "Elderly (45+)", M520&gt;29, "Middle Age (30+)", M520&gt;22, "Adult (23+)", M520&gt;15, "Teen/Young Adult (16+)")</f>
        <v>Middle Age (30+)</v>
      </c>
      <c r="O520" s="3" t="s">
        <v>15</v>
      </c>
    </row>
    <row r="521" spans="1:15" x14ac:dyDescent="0.3">
      <c r="A521" s="4">
        <v>15740</v>
      </c>
      <c r="B521" s="3" t="s">
        <v>39</v>
      </c>
      <c r="C521" s="3" t="s">
        <v>42</v>
      </c>
      <c r="D521" s="11">
        <v>80000</v>
      </c>
      <c r="E521" s="9" t="str" cm="1">
        <f t="array" ref="E521">_xlfn.IFS(D521&gt;149000, "Very High", D521&gt;99000, "High", D521&gt;59999, "Average", D521&gt;19999, "Low", D521&gt;0, "Poverty")</f>
        <v>Average</v>
      </c>
      <c r="F521" s="3">
        <v>5</v>
      </c>
      <c r="G521" t="s">
        <v>13</v>
      </c>
      <c r="H521" t="s">
        <v>28</v>
      </c>
      <c r="I521" s="3" t="s">
        <v>15</v>
      </c>
      <c r="J521" s="3">
        <v>2</v>
      </c>
      <c r="K521" t="s">
        <v>26</v>
      </c>
      <c r="L521" t="s">
        <v>32</v>
      </c>
      <c r="M521" s="3">
        <v>64</v>
      </c>
      <c r="N521" s="3" t="str" cm="1">
        <f t="array" ref="N521">_xlfn.IFS(M521&gt;59, "Pension Age", M521&gt;44, "Elderly (45+)", M521&gt;29, "Middle Age (30+)", M521&gt;22, "Adult (23+)", M521&gt;15, "Teen/Young Adult (16+)")</f>
        <v>Pension Age</v>
      </c>
      <c r="O521" s="3" t="s">
        <v>18</v>
      </c>
    </row>
    <row r="522" spans="1:15" x14ac:dyDescent="0.3">
      <c r="A522" s="4">
        <v>27638</v>
      </c>
      <c r="B522" s="3" t="s">
        <v>40</v>
      </c>
      <c r="C522" s="3" t="s">
        <v>42</v>
      </c>
      <c r="D522" s="11">
        <v>100000</v>
      </c>
      <c r="E522" s="9" t="str" cm="1">
        <f t="array" ref="E522">_xlfn.IFS(D522&gt;149000, "Very High", D522&gt;99000, "High", D522&gt;59999, "Average", D522&gt;19999, "Low", D522&gt;0, "Poverty")</f>
        <v>High</v>
      </c>
      <c r="F522" s="3">
        <v>1</v>
      </c>
      <c r="G522" t="s">
        <v>19</v>
      </c>
      <c r="H522" t="s">
        <v>21</v>
      </c>
      <c r="I522" s="3" t="s">
        <v>18</v>
      </c>
      <c r="J522" s="3">
        <v>3</v>
      </c>
      <c r="K522" t="s">
        <v>26</v>
      </c>
      <c r="L522" t="s">
        <v>32</v>
      </c>
      <c r="M522" s="3">
        <v>44</v>
      </c>
      <c r="N522" s="3" t="str" cm="1">
        <f t="array" ref="N522">_xlfn.IFS(M522&gt;59, "Pension Age", M522&gt;44, "Elderly (45+)", M522&gt;29, "Middle Age (30+)", M522&gt;22, "Adult (23+)", M522&gt;15, "Teen/Young Adult (16+)")</f>
        <v>Middle Age (30+)</v>
      </c>
      <c r="O522" s="3" t="s">
        <v>18</v>
      </c>
    </row>
    <row r="523" spans="1:15" x14ac:dyDescent="0.3">
      <c r="A523" s="4">
        <v>18976</v>
      </c>
      <c r="B523" s="3" t="s">
        <v>40</v>
      </c>
      <c r="C523" s="3" t="s">
        <v>42</v>
      </c>
      <c r="D523" s="11">
        <v>40000</v>
      </c>
      <c r="E523" s="9" t="str" cm="1">
        <f t="array" ref="E523">_xlfn.IFS(D523&gt;149000, "Very High", D523&gt;99000, "High", D523&gt;59999, "Average", D523&gt;19999, "Low", D523&gt;0, "Poverty")</f>
        <v>Low</v>
      </c>
      <c r="F523" s="3">
        <v>4</v>
      </c>
      <c r="G523" t="s">
        <v>27</v>
      </c>
      <c r="H523" t="s">
        <v>21</v>
      </c>
      <c r="I523" s="3" t="s">
        <v>15</v>
      </c>
      <c r="J523" s="3">
        <v>2</v>
      </c>
      <c r="K523" t="s">
        <v>30</v>
      </c>
      <c r="L523" t="s">
        <v>32</v>
      </c>
      <c r="M523" s="3">
        <v>62</v>
      </c>
      <c r="N523" s="3" t="str" cm="1">
        <f t="array" ref="N523">_xlfn.IFS(M523&gt;59, "Pension Age", M523&gt;44, "Elderly (45+)", M523&gt;29, "Middle Age (30+)", M523&gt;22, "Adult (23+)", M523&gt;15, "Teen/Young Adult (16+)")</f>
        <v>Pension Age</v>
      </c>
      <c r="O523" s="3" t="s">
        <v>15</v>
      </c>
    </row>
    <row r="524" spans="1:15" x14ac:dyDescent="0.3">
      <c r="A524" s="4">
        <v>19413</v>
      </c>
      <c r="B524" s="3" t="s">
        <v>40</v>
      </c>
      <c r="C524" s="3" t="s">
        <v>42</v>
      </c>
      <c r="D524" s="11">
        <v>60000</v>
      </c>
      <c r="E524" s="9" t="str" cm="1">
        <f t="array" ref="E524">_xlfn.IFS(D524&gt;149000, "Very High", D524&gt;99000, "High", D524&gt;59999, "Average", D524&gt;19999, "Low", D524&gt;0, "Poverty")</f>
        <v>Average</v>
      </c>
      <c r="F524" s="3">
        <v>3</v>
      </c>
      <c r="G524" t="s">
        <v>13</v>
      </c>
      <c r="H524" t="s">
        <v>21</v>
      </c>
      <c r="I524" s="3" t="s">
        <v>18</v>
      </c>
      <c r="J524" s="3">
        <v>1</v>
      </c>
      <c r="K524" t="s">
        <v>16</v>
      </c>
      <c r="L524" t="s">
        <v>32</v>
      </c>
      <c r="M524" s="3">
        <v>47</v>
      </c>
      <c r="N524" s="3" t="str" cm="1">
        <f t="array" ref="N524">_xlfn.IFS(M524&gt;59, "Pension Age", M524&gt;44, "Elderly (45+)", M524&gt;29, "Middle Age (30+)", M524&gt;22, "Adult (23+)", M524&gt;15, "Teen/Young Adult (16+)")</f>
        <v>Elderly (45+)</v>
      </c>
      <c r="O524" s="3" t="s">
        <v>15</v>
      </c>
    </row>
    <row r="525" spans="1:15" x14ac:dyDescent="0.3">
      <c r="A525" s="4">
        <v>13283</v>
      </c>
      <c r="B525" s="3" t="s">
        <v>39</v>
      </c>
      <c r="C525" s="3" t="s">
        <v>42</v>
      </c>
      <c r="D525" s="11">
        <v>80000</v>
      </c>
      <c r="E525" s="9" t="str" cm="1">
        <f t="array" ref="E525">_xlfn.IFS(D525&gt;149000, "Very High", D525&gt;99000, "High", D525&gt;59999, "Average", D525&gt;19999, "Low", D525&gt;0, "Poverty")</f>
        <v>Average</v>
      </c>
      <c r="F525" s="3">
        <v>3</v>
      </c>
      <c r="G525" t="s">
        <v>19</v>
      </c>
      <c r="H525" t="s">
        <v>21</v>
      </c>
      <c r="I525" s="3" t="s">
        <v>18</v>
      </c>
      <c r="J525" s="3">
        <v>2</v>
      </c>
      <c r="K525" t="s">
        <v>16</v>
      </c>
      <c r="L525" t="s">
        <v>32</v>
      </c>
      <c r="M525" s="3">
        <v>49</v>
      </c>
      <c r="N525" s="3" t="str" cm="1">
        <f t="array" ref="N525">_xlfn.IFS(M525&gt;59, "Pension Age", M525&gt;44, "Elderly (45+)", M525&gt;29, "Middle Age (30+)", M525&gt;22, "Adult (23+)", M525&gt;15, "Teen/Young Adult (16+)")</f>
        <v>Elderly (45+)</v>
      </c>
      <c r="O525" s="3" t="s">
        <v>15</v>
      </c>
    </row>
    <row r="526" spans="1:15" x14ac:dyDescent="0.3">
      <c r="A526" s="4">
        <v>17471</v>
      </c>
      <c r="B526" s="3" t="s">
        <v>40</v>
      </c>
      <c r="C526" s="3" t="s">
        <v>41</v>
      </c>
      <c r="D526" s="11">
        <v>80000</v>
      </c>
      <c r="E526" s="9" t="str" cm="1">
        <f t="array" ref="E526">_xlfn.IFS(D526&gt;149000, "Very High", D526&gt;99000, "High", D526&gt;59999, "Average", D526&gt;19999, "Low", D526&gt;0, "Poverty")</f>
        <v>Average</v>
      </c>
      <c r="F526" s="3">
        <v>4</v>
      </c>
      <c r="G526" t="s">
        <v>31</v>
      </c>
      <c r="H526" t="s">
        <v>28</v>
      </c>
      <c r="I526" s="3" t="s">
        <v>15</v>
      </c>
      <c r="J526" s="3">
        <v>2</v>
      </c>
      <c r="K526" t="s">
        <v>23</v>
      </c>
      <c r="L526" t="s">
        <v>32</v>
      </c>
      <c r="M526" s="3">
        <v>67</v>
      </c>
      <c r="N526" s="3" t="str" cm="1">
        <f t="array" ref="N526">_xlfn.IFS(M526&gt;59, "Pension Age", M526&gt;44, "Elderly (45+)", M526&gt;29, "Middle Age (30+)", M526&gt;22, "Adult (23+)", M526&gt;15, "Teen/Young Adult (16+)")</f>
        <v>Pension Age</v>
      </c>
      <c r="O526" s="3" t="s">
        <v>18</v>
      </c>
    </row>
    <row r="527" spans="1:15" x14ac:dyDescent="0.3">
      <c r="A527" s="4">
        <v>16791</v>
      </c>
      <c r="B527" s="3" t="s">
        <v>40</v>
      </c>
      <c r="C527" s="3" t="s">
        <v>42</v>
      </c>
      <c r="D527" s="11">
        <v>60000</v>
      </c>
      <c r="E527" s="9" t="str" cm="1">
        <f t="array" ref="E527">_xlfn.IFS(D527&gt;149000, "Very High", D527&gt;99000, "High", D527&gt;59999, "Average", D527&gt;19999, "Low", D527&gt;0, "Poverty")</f>
        <v>Average</v>
      </c>
      <c r="F527" s="3">
        <v>5</v>
      </c>
      <c r="G527" t="s">
        <v>13</v>
      </c>
      <c r="H527" t="s">
        <v>28</v>
      </c>
      <c r="I527" s="3" t="s">
        <v>15</v>
      </c>
      <c r="J527" s="3">
        <v>3</v>
      </c>
      <c r="K527" t="s">
        <v>30</v>
      </c>
      <c r="L527" t="s">
        <v>32</v>
      </c>
      <c r="M527" s="3">
        <v>59</v>
      </c>
      <c r="N527" s="3" t="str" cm="1">
        <f t="array" ref="N527">_xlfn.IFS(M527&gt;59, "Pension Age", M527&gt;44, "Elderly (45+)", M527&gt;29, "Middle Age (30+)", M527&gt;22, "Adult (23+)", M527&gt;15, "Teen/Young Adult (16+)")</f>
        <v>Elderly (45+)</v>
      </c>
      <c r="O527" s="3" t="s">
        <v>15</v>
      </c>
    </row>
    <row r="528" spans="1:15" x14ac:dyDescent="0.3">
      <c r="A528" s="4">
        <v>15382</v>
      </c>
      <c r="B528" s="3" t="s">
        <v>39</v>
      </c>
      <c r="C528" s="3" t="s">
        <v>41</v>
      </c>
      <c r="D528" s="11">
        <v>110000</v>
      </c>
      <c r="E528" s="9" t="str" cm="1">
        <f t="array" ref="E528">_xlfn.IFS(D528&gt;149000, "Very High", D528&gt;99000, "High", D528&gt;59999, "Average", D528&gt;19999, "Low", D528&gt;0, "Poverty")</f>
        <v>High</v>
      </c>
      <c r="F528" s="3">
        <v>1</v>
      </c>
      <c r="G528" t="s">
        <v>13</v>
      </c>
      <c r="H528" t="s">
        <v>28</v>
      </c>
      <c r="I528" s="3" t="s">
        <v>15</v>
      </c>
      <c r="J528" s="3">
        <v>2</v>
      </c>
      <c r="K528" t="s">
        <v>26</v>
      </c>
      <c r="L528" t="s">
        <v>32</v>
      </c>
      <c r="M528" s="3">
        <v>44</v>
      </c>
      <c r="N528" s="3" t="str" cm="1">
        <f t="array" ref="N528">_xlfn.IFS(M528&gt;59, "Pension Age", M528&gt;44, "Elderly (45+)", M528&gt;29, "Middle Age (30+)", M528&gt;22, "Adult (23+)", M528&gt;15, "Teen/Young Adult (16+)")</f>
        <v>Middle Age (30+)</v>
      </c>
      <c r="O528" s="3" t="s">
        <v>18</v>
      </c>
    </row>
    <row r="529" spans="1:15" x14ac:dyDescent="0.3">
      <c r="A529" s="4">
        <v>11641</v>
      </c>
      <c r="B529" s="3" t="s">
        <v>39</v>
      </c>
      <c r="C529" s="3" t="s">
        <v>42</v>
      </c>
      <c r="D529" s="11">
        <v>50000</v>
      </c>
      <c r="E529" s="9" t="str" cm="1">
        <f t="array" ref="E529">_xlfn.IFS(D529&gt;149000, "Very High", D529&gt;99000, "High", D529&gt;59999, "Average", D529&gt;19999, "Low", D529&gt;0, "Poverty")</f>
        <v>Low</v>
      </c>
      <c r="F529" s="3">
        <v>1</v>
      </c>
      <c r="G529" t="s">
        <v>13</v>
      </c>
      <c r="H529" t="s">
        <v>14</v>
      </c>
      <c r="I529" s="3" t="s">
        <v>15</v>
      </c>
      <c r="J529" s="3">
        <v>0</v>
      </c>
      <c r="K529" t="s">
        <v>16</v>
      </c>
      <c r="L529" t="s">
        <v>32</v>
      </c>
      <c r="M529" s="3">
        <v>36</v>
      </c>
      <c r="N529" s="3" t="str" cm="1">
        <f t="array" ref="N529">_xlfn.IFS(M529&gt;59, "Pension Age", M529&gt;44, "Elderly (45+)", M529&gt;29, "Middle Age (30+)", M529&gt;22, "Adult (23+)", M529&gt;15, "Teen/Young Adult (16+)")</f>
        <v>Middle Age (30+)</v>
      </c>
      <c r="O529" s="3" t="s">
        <v>18</v>
      </c>
    </row>
    <row r="530" spans="1:15" x14ac:dyDescent="0.3">
      <c r="A530" s="4">
        <v>11935</v>
      </c>
      <c r="B530" s="3" t="s">
        <v>40</v>
      </c>
      <c r="C530" s="3" t="s">
        <v>41</v>
      </c>
      <c r="D530" s="11">
        <v>30000</v>
      </c>
      <c r="E530" s="9" t="str" cm="1">
        <f t="array" ref="E530">_xlfn.IFS(D530&gt;149000, "Very High", D530&gt;99000, "High", D530&gt;59999, "Average", D530&gt;19999, "Low", D530&gt;0, "Poverty")</f>
        <v>Low</v>
      </c>
      <c r="F530" s="3">
        <v>0</v>
      </c>
      <c r="G530" t="s">
        <v>19</v>
      </c>
      <c r="H530" t="s">
        <v>14</v>
      </c>
      <c r="I530" s="3" t="s">
        <v>15</v>
      </c>
      <c r="J530" s="3">
        <v>1</v>
      </c>
      <c r="K530" t="s">
        <v>23</v>
      </c>
      <c r="L530" t="s">
        <v>32</v>
      </c>
      <c r="M530" s="3">
        <v>28</v>
      </c>
      <c r="N530" s="3" t="str" cm="1">
        <f t="array" ref="N530">_xlfn.IFS(M530&gt;59, "Pension Age", M530&gt;44, "Elderly (45+)", M530&gt;29, "Middle Age (30+)", M530&gt;22, "Adult (23+)", M530&gt;15, "Teen/Young Adult (16+)")</f>
        <v>Adult (23+)</v>
      </c>
      <c r="O530" s="3" t="s">
        <v>18</v>
      </c>
    </row>
    <row r="531" spans="1:15" x14ac:dyDescent="0.3">
      <c r="A531" s="4">
        <v>13233</v>
      </c>
      <c r="B531" s="3" t="s">
        <v>39</v>
      </c>
      <c r="C531" s="3" t="s">
        <v>42</v>
      </c>
      <c r="D531" s="11">
        <v>60000</v>
      </c>
      <c r="E531" s="9" t="str" cm="1">
        <f t="array" ref="E531">_xlfn.IFS(D531&gt;149000, "Very High", D531&gt;99000, "High", D531&gt;59999, "Average", D531&gt;19999, "Low", D531&gt;0, "Poverty")</f>
        <v>Average</v>
      </c>
      <c r="F531" s="3">
        <v>2</v>
      </c>
      <c r="G531" t="s">
        <v>19</v>
      </c>
      <c r="H531" t="s">
        <v>21</v>
      </c>
      <c r="I531" s="3" t="s">
        <v>15</v>
      </c>
      <c r="J531" s="3">
        <v>1</v>
      </c>
      <c r="K531" t="s">
        <v>30</v>
      </c>
      <c r="L531" t="s">
        <v>32</v>
      </c>
      <c r="M531" s="3">
        <v>57</v>
      </c>
      <c r="N531" s="3" t="str" cm="1">
        <f t="array" ref="N531">_xlfn.IFS(M531&gt;59, "Pension Age", M531&gt;44, "Elderly (45+)", M531&gt;29, "Middle Age (30+)", M531&gt;22, "Adult (23+)", M531&gt;15, "Teen/Young Adult (16+)")</f>
        <v>Elderly (45+)</v>
      </c>
      <c r="O531" s="3" t="s">
        <v>15</v>
      </c>
    </row>
    <row r="532" spans="1:15" x14ac:dyDescent="0.3">
      <c r="A532" s="4">
        <v>25909</v>
      </c>
      <c r="B532" s="3" t="s">
        <v>39</v>
      </c>
      <c r="C532" s="3" t="s">
        <v>42</v>
      </c>
      <c r="D532" s="11">
        <v>60000</v>
      </c>
      <c r="E532" s="9" t="str" cm="1">
        <f t="array" ref="E532">_xlfn.IFS(D532&gt;149000, "Very High", D532&gt;99000, "High", D532&gt;59999, "Average", D532&gt;19999, "Low", D532&gt;0, "Poverty")</f>
        <v>Average</v>
      </c>
      <c r="F532" s="3">
        <v>0</v>
      </c>
      <c r="G532" t="s">
        <v>19</v>
      </c>
      <c r="H532" t="s">
        <v>14</v>
      </c>
      <c r="I532" s="3" t="s">
        <v>15</v>
      </c>
      <c r="J532" s="3">
        <v>1</v>
      </c>
      <c r="K532" t="s">
        <v>23</v>
      </c>
      <c r="L532" t="s">
        <v>32</v>
      </c>
      <c r="M532" s="3">
        <v>27</v>
      </c>
      <c r="N532" s="3" t="str" cm="1">
        <f t="array" ref="N532">_xlfn.IFS(M532&gt;59, "Pension Age", M532&gt;44, "Elderly (45+)", M532&gt;29, "Middle Age (30+)", M532&gt;22, "Adult (23+)", M532&gt;15, "Teen/Young Adult (16+)")</f>
        <v>Adult (23+)</v>
      </c>
      <c r="O532" s="3" t="s">
        <v>15</v>
      </c>
    </row>
    <row r="533" spans="1:15" x14ac:dyDescent="0.3">
      <c r="A533" s="4">
        <v>14092</v>
      </c>
      <c r="B533" s="3" t="s">
        <v>40</v>
      </c>
      <c r="C533" s="3" t="s">
        <v>42</v>
      </c>
      <c r="D533" s="11">
        <v>30000</v>
      </c>
      <c r="E533" s="9" t="str" cm="1">
        <f t="array" ref="E533">_xlfn.IFS(D533&gt;149000, "Very High", D533&gt;99000, "High", D533&gt;59999, "Average", D533&gt;19999, "Low", D533&gt;0, "Poverty")</f>
        <v>Low</v>
      </c>
      <c r="F533" s="3">
        <v>0</v>
      </c>
      <c r="G533" t="s">
        <v>29</v>
      </c>
      <c r="H533" t="s">
        <v>20</v>
      </c>
      <c r="I533" s="3" t="s">
        <v>15</v>
      </c>
      <c r="J533" s="3">
        <v>2</v>
      </c>
      <c r="K533" t="s">
        <v>23</v>
      </c>
      <c r="L533" t="s">
        <v>32</v>
      </c>
      <c r="M533" s="3">
        <v>28</v>
      </c>
      <c r="N533" s="3" t="str" cm="1">
        <f t="array" ref="N533">_xlfn.IFS(M533&gt;59, "Pension Age", M533&gt;44, "Elderly (45+)", M533&gt;29, "Middle Age (30+)", M533&gt;22, "Adult (23+)", M533&gt;15, "Teen/Young Adult (16+)")</f>
        <v>Adult (23+)</v>
      </c>
      <c r="O533" s="3" t="s">
        <v>18</v>
      </c>
    </row>
    <row r="534" spans="1:15" x14ac:dyDescent="0.3">
      <c r="A534" s="4">
        <v>29143</v>
      </c>
      <c r="B534" s="3" t="s">
        <v>40</v>
      </c>
      <c r="C534" s="3" t="s">
        <v>41</v>
      </c>
      <c r="D534" s="11">
        <v>60000</v>
      </c>
      <c r="E534" s="9" t="str" cm="1">
        <f t="array" ref="E534">_xlfn.IFS(D534&gt;149000, "Very High", D534&gt;99000, "High", D534&gt;59999, "Average", D534&gt;19999, "Low", D534&gt;0, "Poverty")</f>
        <v>Average</v>
      </c>
      <c r="F534" s="3">
        <v>1</v>
      </c>
      <c r="G534" t="s">
        <v>13</v>
      </c>
      <c r="H534" t="s">
        <v>21</v>
      </c>
      <c r="I534" s="3" t="s">
        <v>18</v>
      </c>
      <c r="J534" s="3">
        <v>1</v>
      </c>
      <c r="K534" t="s">
        <v>16</v>
      </c>
      <c r="L534" t="s">
        <v>32</v>
      </c>
      <c r="M534" s="3">
        <v>44</v>
      </c>
      <c r="N534" s="3" t="str" cm="1">
        <f t="array" ref="N534">_xlfn.IFS(M534&gt;59, "Pension Age", M534&gt;44, "Elderly (45+)", M534&gt;29, "Middle Age (30+)", M534&gt;22, "Adult (23+)", M534&gt;15, "Teen/Young Adult (16+)")</f>
        <v>Middle Age (30+)</v>
      </c>
      <c r="O534" s="3" t="s">
        <v>15</v>
      </c>
    </row>
    <row r="535" spans="1:15" x14ac:dyDescent="0.3">
      <c r="A535" s="4">
        <v>24941</v>
      </c>
      <c r="B535" s="3" t="s">
        <v>39</v>
      </c>
      <c r="C535" s="3" t="s">
        <v>42</v>
      </c>
      <c r="D535" s="11">
        <v>60000</v>
      </c>
      <c r="E535" s="9" t="str" cm="1">
        <f t="array" ref="E535">_xlfn.IFS(D535&gt;149000, "Very High", D535&gt;99000, "High", D535&gt;59999, "Average", D535&gt;19999, "Low", D535&gt;0, "Poverty")</f>
        <v>Average</v>
      </c>
      <c r="F535" s="3">
        <v>3</v>
      </c>
      <c r="G535" t="s">
        <v>13</v>
      </c>
      <c r="H535" t="s">
        <v>28</v>
      </c>
      <c r="I535" s="3" t="s">
        <v>15</v>
      </c>
      <c r="J535" s="3">
        <v>2</v>
      </c>
      <c r="K535" t="s">
        <v>30</v>
      </c>
      <c r="L535" t="s">
        <v>32</v>
      </c>
      <c r="M535" s="3">
        <v>66</v>
      </c>
      <c r="N535" s="3" t="str" cm="1">
        <f t="array" ref="N535">_xlfn.IFS(M535&gt;59, "Pension Age", M535&gt;44, "Elderly (45+)", M535&gt;29, "Middle Age (30+)", M535&gt;22, "Adult (23+)", M535&gt;15, "Teen/Young Adult (16+)")</f>
        <v>Pension Age</v>
      </c>
      <c r="O535" s="3" t="s">
        <v>18</v>
      </c>
    </row>
    <row r="536" spans="1:15" x14ac:dyDescent="0.3">
      <c r="A536" s="4">
        <v>24637</v>
      </c>
      <c r="B536" s="3" t="s">
        <v>39</v>
      </c>
      <c r="C536" s="3" t="s">
        <v>42</v>
      </c>
      <c r="D536" s="11">
        <v>40000</v>
      </c>
      <c r="E536" s="9" t="str" cm="1">
        <f t="array" ref="E536">_xlfn.IFS(D536&gt;149000, "Very High", D536&gt;99000, "High", D536&gt;59999, "Average", D536&gt;19999, "Low", D536&gt;0, "Poverty")</f>
        <v>Low</v>
      </c>
      <c r="F536" s="3">
        <v>4</v>
      </c>
      <c r="G536" t="s">
        <v>27</v>
      </c>
      <c r="H536" t="s">
        <v>21</v>
      </c>
      <c r="I536" s="3" t="s">
        <v>15</v>
      </c>
      <c r="J536" s="3">
        <v>2</v>
      </c>
      <c r="K536" t="s">
        <v>30</v>
      </c>
      <c r="L536" t="s">
        <v>32</v>
      </c>
      <c r="M536" s="3">
        <v>64</v>
      </c>
      <c r="N536" s="3" t="str" cm="1">
        <f t="array" ref="N536">_xlfn.IFS(M536&gt;59, "Pension Age", M536&gt;44, "Elderly (45+)", M536&gt;29, "Middle Age (30+)", M536&gt;22, "Adult (23+)", M536&gt;15, "Teen/Young Adult (16+)")</f>
        <v>Pension Age</v>
      </c>
      <c r="O536" s="3" t="s">
        <v>18</v>
      </c>
    </row>
    <row r="537" spans="1:15" x14ac:dyDescent="0.3">
      <c r="A537" s="4">
        <v>23893</v>
      </c>
      <c r="B537" s="3" t="s">
        <v>39</v>
      </c>
      <c r="C537" s="3" t="s">
        <v>42</v>
      </c>
      <c r="D537" s="11">
        <v>50000</v>
      </c>
      <c r="E537" s="9" t="str" cm="1">
        <f t="array" ref="E537">_xlfn.IFS(D537&gt;149000, "Very High", D537&gt;99000, "High", D537&gt;59999, "Average", D537&gt;19999, "Low", D537&gt;0, "Poverty")</f>
        <v>Low</v>
      </c>
      <c r="F537" s="3">
        <v>3</v>
      </c>
      <c r="G537" t="s">
        <v>13</v>
      </c>
      <c r="H537" t="s">
        <v>14</v>
      </c>
      <c r="I537" s="3" t="s">
        <v>15</v>
      </c>
      <c r="J537" s="3">
        <v>3</v>
      </c>
      <c r="K537" t="s">
        <v>30</v>
      </c>
      <c r="L537" t="s">
        <v>32</v>
      </c>
      <c r="M537" s="3">
        <v>41</v>
      </c>
      <c r="N537" s="3" t="str" cm="1">
        <f t="array" ref="N537">_xlfn.IFS(M537&gt;59, "Pension Age", M537&gt;44, "Elderly (45+)", M537&gt;29, "Middle Age (30+)", M537&gt;22, "Adult (23+)", M537&gt;15, "Teen/Young Adult (16+)")</f>
        <v>Middle Age (30+)</v>
      </c>
      <c r="O537" s="3" t="s">
        <v>18</v>
      </c>
    </row>
    <row r="538" spans="1:15" x14ac:dyDescent="0.3">
      <c r="A538" s="4">
        <v>13907</v>
      </c>
      <c r="B538" s="3" t="s">
        <v>40</v>
      </c>
      <c r="C538" s="3" t="s">
        <v>41</v>
      </c>
      <c r="D538" s="11">
        <v>80000</v>
      </c>
      <c r="E538" s="9" t="str" cm="1">
        <f t="array" ref="E538">_xlfn.IFS(D538&gt;149000, "Very High", D538&gt;99000, "High", D538&gt;59999, "Average", D538&gt;19999, "Low", D538&gt;0, "Poverty")</f>
        <v>Average</v>
      </c>
      <c r="F538" s="3">
        <v>3</v>
      </c>
      <c r="G538" t="s">
        <v>13</v>
      </c>
      <c r="H538" t="s">
        <v>14</v>
      </c>
      <c r="I538" s="3" t="s">
        <v>15</v>
      </c>
      <c r="J538" s="3">
        <v>1</v>
      </c>
      <c r="K538" t="s">
        <v>16</v>
      </c>
      <c r="L538" t="s">
        <v>32</v>
      </c>
      <c r="M538" s="3">
        <v>41</v>
      </c>
      <c r="N538" s="3" t="str" cm="1">
        <f t="array" ref="N538">_xlfn.IFS(M538&gt;59, "Pension Age", M538&gt;44, "Elderly (45+)", M538&gt;29, "Middle Age (30+)", M538&gt;22, "Adult (23+)", M538&gt;15, "Teen/Young Adult (16+)")</f>
        <v>Middle Age (30+)</v>
      </c>
      <c r="O538" s="3" t="s">
        <v>15</v>
      </c>
    </row>
    <row r="539" spans="1:15" x14ac:dyDescent="0.3">
      <c r="A539" s="4">
        <v>14900</v>
      </c>
      <c r="B539" s="3" t="s">
        <v>39</v>
      </c>
      <c r="C539" s="3" t="s">
        <v>41</v>
      </c>
      <c r="D539" s="11">
        <v>40000</v>
      </c>
      <c r="E539" s="9" t="str" cm="1">
        <f t="array" ref="E539">_xlfn.IFS(D539&gt;149000, "Very High", D539&gt;99000, "High", D539&gt;59999, "Average", D539&gt;19999, "Low", D539&gt;0, "Poverty")</f>
        <v>Low</v>
      </c>
      <c r="F539" s="3">
        <v>1</v>
      </c>
      <c r="G539" t="s">
        <v>19</v>
      </c>
      <c r="H539" t="s">
        <v>20</v>
      </c>
      <c r="I539" s="3" t="s">
        <v>15</v>
      </c>
      <c r="J539" s="3">
        <v>1</v>
      </c>
      <c r="K539" t="s">
        <v>26</v>
      </c>
      <c r="L539" t="s">
        <v>32</v>
      </c>
      <c r="M539" s="3">
        <v>49</v>
      </c>
      <c r="N539" s="3" t="str" cm="1">
        <f t="array" ref="N539">_xlfn.IFS(M539&gt;59, "Pension Age", M539&gt;44, "Elderly (45+)", M539&gt;29, "Middle Age (30+)", M539&gt;22, "Adult (23+)", M539&gt;15, "Teen/Young Adult (16+)")</f>
        <v>Elderly (45+)</v>
      </c>
      <c r="O539" s="3" t="s">
        <v>15</v>
      </c>
    </row>
    <row r="540" spans="1:15" x14ac:dyDescent="0.3">
      <c r="A540" s="4">
        <v>11262</v>
      </c>
      <c r="B540" s="3" t="s">
        <v>39</v>
      </c>
      <c r="C540" s="3" t="s">
        <v>41</v>
      </c>
      <c r="D540" s="11">
        <v>80000</v>
      </c>
      <c r="E540" s="9" t="str" cm="1">
        <f t="array" ref="E540">_xlfn.IFS(D540&gt;149000, "Very High", D540&gt;99000, "High", D540&gt;59999, "Average", D540&gt;19999, "Low", D540&gt;0, "Poverty")</f>
        <v>Average</v>
      </c>
      <c r="F540" s="3">
        <v>4</v>
      </c>
      <c r="G540" t="s">
        <v>13</v>
      </c>
      <c r="H540" t="s">
        <v>28</v>
      </c>
      <c r="I540" s="3" t="s">
        <v>15</v>
      </c>
      <c r="J540" s="3">
        <v>0</v>
      </c>
      <c r="K540" t="s">
        <v>16</v>
      </c>
      <c r="L540" t="s">
        <v>32</v>
      </c>
      <c r="M540" s="3">
        <v>42</v>
      </c>
      <c r="N540" s="3" t="str" cm="1">
        <f t="array" ref="N540">_xlfn.IFS(M540&gt;59, "Pension Age", M540&gt;44, "Elderly (45+)", M540&gt;29, "Middle Age (30+)", M540&gt;22, "Adult (23+)", M540&gt;15, "Teen/Young Adult (16+)")</f>
        <v>Middle Age (30+)</v>
      </c>
      <c r="O540" s="3" t="s">
        <v>18</v>
      </c>
    </row>
    <row r="541" spans="1:15" x14ac:dyDescent="0.3">
      <c r="A541" s="4">
        <v>22294</v>
      </c>
      <c r="B541" s="3" t="s">
        <v>40</v>
      </c>
      <c r="C541" s="3" t="s">
        <v>41</v>
      </c>
      <c r="D541" s="11">
        <v>70000</v>
      </c>
      <c r="E541" s="9" t="str" cm="1">
        <f t="array" ref="E541">_xlfn.IFS(D541&gt;149000, "Very High", D541&gt;99000, "High", D541&gt;59999, "Average", D541&gt;19999, "Low", D541&gt;0, "Poverty")</f>
        <v>Average</v>
      </c>
      <c r="F541" s="3">
        <v>0</v>
      </c>
      <c r="G541" t="s">
        <v>13</v>
      </c>
      <c r="H541" t="s">
        <v>21</v>
      </c>
      <c r="I541" s="3" t="s">
        <v>18</v>
      </c>
      <c r="J541" s="3">
        <v>1</v>
      </c>
      <c r="K541" t="s">
        <v>22</v>
      </c>
      <c r="L541" t="s">
        <v>32</v>
      </c>
      <c r="M541" s="3">
        <v>37</v>
      </c>
      <c r="N541" s="3" t="str" cm="1">
        <f t="array" ref="N541">_xlfn.IFS(M541&gt;59, "Pension Age", M541&gt;44, "Elderly (45+)", M541&gt;29, "Middle Age (30+)", M541&gt;22, "Adult (23+)", M541&gt;15, "Teen/Young Adult (16+)")</f>
        <v>Middle Age (30+)</v>
      </c>
      <c r="O541" s="3" t="s">
        <v>15</v>
      </c>
    </row>
    <row r="542" spans="1:15" x14ac:dyDescent="0.3">
      <c r="A542" s="4">
        <v>12195</v>
      </c>
      <c r="B542" s="3" t="s">
        <v>40</v>
      </c>
      <c r="C542" s="3" t="s">
        <v>41</v>
      </c>
      <c r="D542" s="11">
        <v>70000</v>
      </c>
      <c r="E542" s="9" t="str" cm="1">
        <f t="array" ref="E542">_xlfn.IFS(D542&gt;149000, "Very High", D542&gt;99000, "High", D542&gt;59999, "Average", D542&gt;19999, "Low", D542&gt;0, "Poverty")</f>
        <v>Average</v>
      </c>
      <c r="F542" s="3">
        <v>3</v>
      </c>
      <c r="G542" t="s">
        <v>31</v>
      </c>
      <c r="H542" t="s">
        <v>28</v>
      </c>
      <c r="I542" s="3" t="s">
        <v>15</v>
      </c>
      <c r="J542" s="3">
        <v>2</v>
      </c>
      <c r="K542" t="s">
        <v>26</v>
      </c>
      <c r="L542" t="s">
        <v>32</v>
      </c>
      <c r="M542" s="3">
        <v>52</v>
      </c>
      <c r="N542" s="3" t="str" cm="1">
        <f t="array" ref="N542">_xlfn.IFS(M542&gt;59, "Pension Age", M542&gt;44, "Elderly (45+)", M542&gt;29, "Middle Age (30+)", M542&gt;22, "Adult (23+)", M542&gt;15, "Teen/Young Adult (16+)")</f>
        <v>Elderly (45+)</v>
      </c>
      <c r="O542" s="3" t="s">
        <v>18</v>
      </c>
    </row>
    <row r="543" spans="1:15" x14ac:dyDescent="0.3">
      <c r="A543" s="4">
        <v>25375</v>
      </c>
      <c r="B543" s="3" t="s">
        <v>39</v>
      </c>
      <c r="C543" s="3" t="s">
        <v>42</v>
      </c>
      <c r="D543" s="11">
        <v>50000</v>
      </c>
      <c r="E543" s="9" t="str" cm="1">
        <f t="array" ref="E543">_xlfn.IFS(D543&gt;149000, "Very High", D543&gt;99000, "High", D543&gt;59999, "Average", D543&gt;19999, "Low", D543&gt;0, "Poverty")</f>
        <v>Low</v>
      </c>
      <c r="F543" s="3">
        <v>1</v>
      </c>
      <c r="G543" t="s">
        <v>31</v>
      </c>
      <c r="H543" t="s">
        <v>14</v>
      </c>
      <c r="I543" s="3" t="s">
        <v>15</v>
      </c>
      <c r="J543" s="3">
        <v>0</v>
      </c>
      <c r="K543" t="s">
        <v>26</v>
      </c>
      <c r="L543" t="s">
        <v>32</v>
      </c>
      <c r="M543" s="3">
        <v>34</v>
      </c>
      <c r="N543" s="3" t="str" cm="1">
        <f t="array" ref="N543">_xlfn.IFS(M543&gt;59, "Pension Age", M543&gt;44, "Elderly (45+)", M543&gt;29, "Middle Age (30+)", M543&gt;22, "Adult (23+)", M543&gt;15, "Teen/Young Adult (16+)")</f>
        <v>Middle Age (30+)</v>
      </c>
      <c r="O543" s="3" t="s">
        <v>18</v>
      </c>
    </row>
    <row r="544" spans="1:15" x14ac:dyDescent="0.3">
      <c r="A544" s="4">
        <v>11143</v>
      </c>
      <c r="B544" s="3" t="s">
        <v>39</v>
      </c>
      <c r="C544" s="3" t="s">
        <v>42</v>
      </c>
      <c r="D544" s="11">
        <v>40000</v>
      </c>
      <c r="E544" s="9" t="str" cm="1">
        <f t="array" ref="E544">_xlfn.IFS(D544&gt;149000, "Very High", D544&gt;99000, "High", D544&gt;59999, "Average", D544&gt;19999, "Low", D544&gt;0, "Poverty")</f>
        <v>Low</v>
      </c>
      <c r="F544" s="3">
        <v>0</v>
      </c>
      <c r="G544" t="s">
        <v>27</v>
      </c>
      <c r="H544" t="s">
        <v>14</v>
      </c>
      <c r="I544" s="3" t="s">
        <v>15</v>
      </c>
      <c r="J544" s="3">
        <v>2</v>
      </c>
      <c r="K544" t="s">
        <v>23</v>
      </c>
      <c r="L544" t="s">
        <v>32</v>
      </c>
      <c r="M544" s="3">
        <v>29</v>
      </c>
      <c r="N544" s="3" t="str" cm="1">
        <f t="array" ref="N544">_xlfn.IFS(M544&gt;59, "Pension Age", M544&gt;44, "Elderly (45+)", M544&gt;29, "Middle Age (30+)", M544&gt;22, "Adult (23+)", M544&gt;15, "Teen/Young Adult (16+)")</f>
        <v>Adult (23+)</v>
      </c>
      <c r="O544" s="3" t="s">
        <v>18</v>
      </c>
    </row>
    <row r="545" spans="1:15" x14ac:dyDescent="0.3">
      <c r="A545" s="4">
        <v>25898</v>
      </c>
      <c r="B545" s="3" t="s">
        <v>39</v>
      </c>
      <c r="C545" s="3" t="s">
        <v>41</v>
      </c>
      <c r="D545" s="11">
        <v>70000</v>
      </c>
      <c r="E545" s="9" t="str" cm="1">
        <f t="array" ref="E545">_xlfn.IFS(D545&gt;149000, "Very High", D545&gt;99000, "High", D545&gt;59999, "Average", D545&gt;19999, "Low", D545&gt;0, "Poverty")</f>
        <v>Average</v>
      </c>
      <c r="F545" s="3">
        <v>2</v>
      </c>
      <c r="G545" t="s">
        <v>27</v>
      </c>
      <c r="H545" t="s">
        <v>21</v>
      </c>
      <c r="I545" s="3" t="s">
        <v>15</v>
      </c>
      <c r="J545" s="3">
        <v>2</v>
      </c>
      <c r="K545" t="s">
        <v>22</v>
      </c>
      <c r="L545" t="s">
        <v>32</v>
      </c>
      <c r="M545" s="3">
        <v>53</v>
      </c>
      <c r="N545" s="3" t="str" cm="1">
        <f t="array" ref="N545">_xlfn.IFS(M545&gt;59, "Pension Age", M545&gt;44, "Elderly (45+)", M545&gt;29, "Middle Age (30+)", M545&gt;22, "Adult (23+)", M545&gt;15, "Teen/Young Adult (16+)")</f>
        <v>Elderly (45+)</v>
      </c>
      <c r="O545" s="3" t="s">
        <v>18</v>
      </c>
    </row>
    <row r="546" spans="1:15" x14ac:dyDescent="0.3">
      <c r="A546" s="4">
        <v>24397</v>
      </c>
      <c r="B546" s="3" t="s">
        <v>40</v>
      </c>
      <c r="C546" s="3" t="s">
        <v>42</v>
      </c>
      <c r="D546" s="11">
        <v>120000</v>
      </c>
      <c r="E546" s="9" t="str" cm="1">
        <f t="array" ref="E546">_xlfn.IFS(D546&gt;149000, "Very High", D546&gt;99000, "High", D546&gt;59999, "Average", D546&gt;19999, "Low", D546&gt;0, "Poverty")</f>
        <v>High</v>
      </c>
      <c r="F546" s="3">
        <v>2</v>
      </c>
      <c r="G546" t="s">
        <v>13</v>
      </c>
      <c r="H546" t="s">
        <v>28</v>
      </c>
      <c r="I546" s="3" t="s">
        <v>18</v>
      </c>
      <c r="J546" s="3">
        <v>4</v>
      </c>
      <c r="K546" t="s">
        <v>26</v>
      </c>
      <c r="L546" t="s">
        <v>32</v>
      </c>
      <c r="M546" s="3">
        <v>40</v>
      </c>
      <c r="N546" s="3" t="str" cm="1">
        <f t="array" ref="N546">_xlfn.IFS(M546&gt;59, "Pension Age", M546&gt;44, "Elderly (45+)", M546&gt;29, "Middle Age (30+)", M546&gt;22, "Adult (23+)", M546&gt;15, "Teen/Young Adult (16+)")</f>
        <v>Middle Age (30+)</v>
      </c>
      <c r="O546" s="3" t="s">
        <v>18</v>
      </c>
    </row>
    <row r="547" spans="1:15" x14ac:dyDescent="0.3">
      <c r="A547" s="4">
        <v>19758</v>
      </c>
      <c r="B547" s="3" t="s">
        <v>40</v>
      </c>
      <c r="C547" s="3" t="s">
        <v>42</v>
      </c>
      <c r="D547" s="11">
        <v>60000</v>
      </c>
      <c r="E547" s="9" t="str" cm="1">
        <f t="array" ref="E547">_xlfn.IFS(D547&gt;149000, "Very High", D547&gt;99000, "High", D547&gt;59999, "Average", D547&gt;19999, "Low", D547&gt;0, "Poverty")</f>
        <v>Average</v>
      </c>
      <c r="F547" s="3">
        <v>0</v>
      </c>
      <c r="G547" t="s">
        <v>19</v>
      </c>
      <c r="H547" t="s">
        <v>14</v>
      </c>
      <c r="I547" s="3" t="s">
        <v>18</v>
      </c>
      <c r="J547" s="3">
        <v>2</v>
      </c>
      <c r="K547" t="s">
        <v>26</v>
      </c>
      <c r="L547" t="s">
        <v>32</v>
      </c>
      <c r="M547" s="3">
        <v>29</v>
      </c>
      <c r="N547" s="3" t="str" cm="1">
        <f t="array" ref="N547">_xlfn.IFS(M547&gt;59, "Pension Age", M547&gt;44, "Elderly (45+)", M547&gt;29, "Middle Age (30+)", M547&gt;22, "Adult (23+)", M547&gt;15, "Teen/Young Adult (16+)")</f>
        <v>Adult (23+)</v>
      </c>
      <c r="O547" s="3" t="s">
        <v>18</v>
      </c>
    </row>
    <row r="548" spans="1:15" x14ac:dyDescent="0.3">
      <c r="A548" s="4">
        <v>15529</v>
      </c>
      <c r="B548" s="3" t="s">
        <v>39</v>
      </c>
      <c r="C548" s="3" t="s">
        <v>42</v>
      </c>
      <c r="D548" s="11">
        <v>60000</v>
      </c>
      <c r="E548" s="9" t="str" cm="1">
        <f t="array" ref="E548">_xlfn.IFS(D548&gt;149000, "Very High", D548&gt;99000, "High", D548&gt;59999, "Average", D548&gt;19999, "Low", D548&gt;0, "Poverty")</f>
        <v>Average</v>
      </c>
      <c r="F548" s="3">
        <v>4</v>
      </c>
      <c r="G548" t="s">
        <v>13</v>
      </c>
      <c r="H548" t="s">
        <v>21</v>
      </c>
      <c r="I548" s="3" t="s">
        <v>15</v>
      </c>
      <c r="J548" s="3">
        <v>2</v>
      </c>
      <c r="K548" t="s">
        <v>22</v>
      </c>
      <c r="L548" t="s">
        <v>32</v>
      </c>
      <c r="M548" s="3">
        <v>43</v>
      </c>
      <c r="N548" s="3" t="str" cm="1">
        <f t="array" ref="N548">_xlfn.IFS(M548&gt;59, "Pension Age", M548&gt;44, "Elderly (45+)", M548&gt;29, "Middle Age (30+)", M548&gt;22, "Adult (23+)", M548&gt;15, "Teen/Young Adult (16+)")</f>
        <v>Middle Age (30+)</v>
      </c>
      <c r="O548" s="3" t="s">
        <v>15</v>
      </c>
    </row>
    <row r="549" spans="1:15" x14ac:dyDescent="0.3">
      <c r="A549" s="4">
        <v>19884</v>
      </c>
      <c r="B549" s="3" t="s">
        <v>39</v>
      </c>
      <c r="C549" s="3" t="s">
        <v>42</v>
      </c>
      <c r="D549" s="11">
        <v>60000</v>
      </c>
      <c r="E549" s="9" t="str" cm="1">
        <f t="array" ref="E549">_xlfn.IFS(D549&gt;149000, "Very High", D549&gt;99000, "High", D549&gt;59999, "Average", D549&gt;19999, "Low", D549&gt;0, "Poverty")</f>
        <v>Average</v>
      </c>
      <c r="F549" s="3">
        <v>2</v>
      </c>
      <c r="G549" t="s">
        <v>27</v>
      </c>
      <c r="H549" t="s">
        <v>21</v>
      </c>
      <c r="I549" s="3" t="s">
        <v>15</v>
      </c>
      <c r="J549" s="3">
        <v>2</v>
      </c>
      <c r="K549" t="s">
        <v>22</v>
      </c>
      <c r="L549" t="s">
        <v>32</v>
      </c>
      <c r="M549" s="3">
        <v>55</v>
      </c>
      <c r="N549" s="3" t="str" cm="1">
        <f t="array" ref="N549">_xlfn.IFS(M549&gt;59, "Pension Age", M549&gt;44, "Elderly (45+)", M549&gt;29, "Middle Age (30+)", M549&gt;22, "Adult (23+)", M549&gt;15, "Teen/Young Adult (16+)")</f>
        <v>Elderly (45+)</v>
      </c>
      <c r="O549" s="3" t="s">
        <v>15</v>
      </c>
    </row>
    <row r="550" spans="1:15" x14ac:dyDescent="0.3">
      <c r="A550" s="4">
        <v>18674</v>
      </c>
      <c r="B550" s="3" t="s">
        <v>40</v>
      </c>
      <c r="C550" s="3" t="s">
        <v>41</v>
      </c>
      <c r="D550" s="11">
        <v>80000</v>
      </c>
      <c r="E550" s="9" t="str" cm="1">
        <f t="array" ref="E550">_xlfn.IFS(D550&gt;149000, "Very High", D550&gt;99000, "High", D550&gt;59999, "Average", D550&gt;19999, "Low", D550&gt;0, "Poverty")</f>
        <v>Average</v>
      </c>
      <c r="F550" s="3">
        <v>4</v>
      </c>
      <c r="G550" t="s">
        <v>31</v>
      </c>
      <c r="H550" t="s">
        <v>14</v>
      </c>
      <c r="I550" s="3" t="s">
        <v>18</v>
      </c>
      <c r="J550" s="3">
        <v>0</v>
      </c>
      <c r="K550" t="s">
        <v>16</v>
      </c>
      <c r="L550" t="s">
        <v>32</v>
      </c>
      <c r="M550" s="3">
        <v>48</v>
      </c>
      <c r="N550" s="3" t="str" cm="1">
        <f t="array" ref="N550">_xlfn.IFS(M550&gt;59, "Pension Age", M550&gt;44, "Elderly (45+)", M550&gt;29, "Middle Age (30+)", M550&gt;22, "Adult (23+)", M550&gt;15, "Teen/Young Adult (16+)")</f>
        <v>Elderly (45+)</v>
      </c>
      <c r="O550" s="3" t="s">
        <v>18</v>
      </c>
    </row>
    <row r="551" spans="1:15" x14ac:dyDescent="0.3">
      <c r="A551" s="4">
        <v>13453</v>
      </c>
      <c r="B551" s="3" t="s">
        <v>39</v>
      </c>
      <c r="C551" s="3" t="s">
        <v>41</v>
      </c>
      <c r="D551" s="11">
        <v>130000</v>
      </c>
      <c r="E551" s="9" t="str" cm="1">
        <f t="array" ref="E551">_xlfn.IFS(D551&gt;149000, "Very High", D551&gt;99000, "High", D551&gt;59999, "Average", D551&gt;19999, "Low", D551&gt;0, "Poverty")</f>
        <v>High</v>
      </c>
      <c r="F551" s="3">
        <v>3</v>
      </c>
      <c r="G551" t="s">
        <v>13</v>
      </c>
      <c r="H551" t="s">
        <v>28</v>
      </c>
      <c r="I551" s="3" t="s">
        <v>15</v>
      </c>
      <c r="J551" s="3">
        <v>3</v>
      </c>
      <c r="K551" t="s">
        <v>16</v>
      </c>
      <c r="L551" t="s">
        <v>32</v>
      </c>
      <c r="M551" s="3">
        <v>45</v>
      </c>
      <c r="N551" s="3" t="str" cm="1">
        <f t="array" ref="N551">_xlfn.IFS(M551&gt;59, "Pension Age", M551&gt;44, "Elderly (45+)", M551&gt;29, "Middle Age (30+)", M551&gt;22, "Adult (23+)", M551&gt;15, "Teen/Young Adult (16+)")</f>
        <v>Elderly (45+)</v>
      </c>
      <c r="O551" s="3" t="s">
        <v>15</v>
      </c>
    </row>
    <row r="552" spans="1:15" x14ac:dyDescent="0.3">
      <c r="A552" s="4">
        <v>14063</v>
      </c>
      <c r="B552" s="3" t="s">
        <v>40</v>
      </c>
      <c r="C552" s="3" t="s">
        <v>41</v>
      </c>
      <c r="D552" s="11">
        <v>70000</v>
      </c>
      <c r="E552" s="9" t="str" cm="1">
        <f t="array" ref="E552">_xlfn.IFS(D552&gt;149000, "Very High", D552&gt;99000, "High", D552&gt;59999, "Average", D552&gt;19999, "Low", D552&gt;0, "Poverty")</f>
        <v>Average</v>
      </c>
      <c r="F552" s="3">
        <v>0</v>
      </c>
      <c r="G552" t="s">
        <v>13</v>
      </c>
      <c r="H552" t="s">
        <v>21</v>
      </c>
      <c r="I552" s="3" t="s">
        <v>18</v>
      </c>
      <c r="J552" s="3">
        <v>1</v>
      </c>
      <c r="K552" t="s">
        <v>16</v>
      </c>
      <c r="L552" t="s">
        <v>24</v>
      </c>
      <c r="M552" s="3">
        <v>42</v>
      </c>
      <c r="N552" s="3" t="str" cm="1">
        <f t="array" ref="N552">_xlfn.IFS(M552&gt;59, "Pension Age", M552&gt;44, "Elderly (45+)", M552&gt;29, "Middle Age (30+)", M552&gt;22, "Adult (23+)", M552&gt;15, "Teen/Young Adult (16+)")</f>
        <v>Middle Age (30+)</v>
      </c>
      <c r="O552" s="3" t="s">
        <v>15</v>
      </c>
    </row>
    <row r="553" spans="1:15" x14ac:dyDescent="0.3">
      <c r="A553" s="4">
        <v>27393</v>
      </c>
      <c r="B553" s="3" t="s">
        <v>39</v>
      </c>
      <c r="C553" s="3" t="s">
        <v>41</v>
      </c>
      <c r="D553" s="11">
        <v>50000</v>
      </c>
      <c r="E553" s="9" t="str" cm="1">
        <f t="array" ref="E553">_xlfn.IFS(D553&gt;149000, "Very High", D553&gt;99000, "High", D553&gt;59999, "Average", D553&gt;19999, "Low", D553&gt;0, "Poverty")</f>
        <v>Low</v>
      </c>
      <c r="F553" s="3">
        <v>4</v>
      </c>
      <c r="G553" t="s">
        <v>13</v>
      </c>
      <c r="H553" t="s">
        <v>28</v>
      </c>
      <c r="I553" s="3" t="s">
        <v>15</v>
      </c>
      <c r="J553" s="3">
        <v>2</v>
      </c>
      <c r="K553" t="s">
        <v>30</v>
      </c>
      <c r="L553" t="s">
        <v>32</v>
      </c>
      <c r="M553" s="3">
        <v>63</v>
      </c>
      <c r="N553" s="3" t="str" cm="1">
        <f t="array" ref="N553">_xlfn.IFS(M553&gt;59, "Pension Age", M553&gt;44, "Elderly (45+)", M553&gt;29, "Middle Age (30+)", M553&gt;22, "Adult (23+)", M553&gt;15, "Teen/Young Adult (16+)")</f>
        <v>Pension Age</v>
      </c>
      <c r="O553" s="3" t="s">
        <v>18</v>
      </c>
    </row>
    <row r="554" spans="1:15" x14ac:dyDescent="0.3">
      <c r="A554" s="4">
        <v>14417</v>
      </c>
      <c r="B554" s="3" t="s">
        <v>40</v>
      </c>
      <c r="C554" s="3" t="s">
        <v>42</v>
      </c>
      <c r="D554" s="11">
        <v>60000</v>
      </c>
      <c r="E554" s="9" t="str" cm="1">
        <f t="array" ref="E554">_xlfn.IFS(D554&gt;149000, "Very High", D554&gt;99000, "High", D554&gt;59999, "Average", D554&gt;19999, "Low", D554&gt;0, "Poverty")</f>
        <v>Average</v>
      </c>
      <c r="F554" s="3">
        <v>3</v>
      </c>
      <c r="G554" t="s">
        <v>27</v>
      </c>
      <c r="H554" t="s">
        <v>21</v>
      </c>
      <c r="I554" s="3" t="s">
        <v>15</v>
      </c>
      <c r="J554" s="3">
        <v>2</v>
      </c>
      <c r="K554" t="s">
        <v>30</v>
      </c>
      <c r="L554" t="s">
        <v>32</v>
      </c>
      <c r="M554" s="3">
        <v>54</v>
      </c>
      <c r="N554" s="3" t="str" cm="1">
        <f t="array" ref="N554">_xlfn.IFS(M554&gt;59, "Pension Age", M554&gt;44, "Elderly (45+)", M554&gt;29, "Middle Age (30+)", M554&gt;22, "Adult (23+)", M554&gt;15, "Teen/Young Adult (16+)")</f>
        <v>Elderly (45+)</v>
      </c>
      <c r="O554" s="3" t="s">
        <v>15</v>
      </c>
    </row>
    <row r="555" spans="1:15" x14ac:dyDescent="0.3">
      <c r="A555" s="4">
        <v>17533</v>
      </c>
      <c r="B555" s="3" t="s">
        <v>39</v>
      </c>
      <c r="C555" s="3" t="s">
        <v>42</v>
      </c>
      <c r="D555" s="11">
        <v>40000</v>
      </c>
      <c r="E555" s="9" t="str" cm="1">
        <f t="array" ref="E555">_xlfn.IFS(D555&gt;149000, "Very High", D555&gt;99000, "High", D555&gt;59999, "Average", D555&gt;19999, "Low", D555&gt;0, "Poverty")</f>
        <v>Low</v>
      </c>
      <c r="F555" s="3">
        <v>3</v>
      </c>
      <c r="G555" t="s">
        <v>19</v>
      </c>
      <c r="H555" t="s">
        <v>21</v>
      </c>
      <c r="I555" s="3" t="s">
        <v>18</v>
      </c>
      <c r="J555" s="3">
        <v>2</v>
      </c>
      <c r="K555" t="s">
        <v>23</v>
      </c>
      <c r="L555" t="s">
        <v>32</v>
      </c>
      <c r="M555" s="3">
        <v>73</v>
      </c>
      <c r="N555" s="3" t="str" cm="1">
        <f t="array" ref="N555">_xlfn.IFS(M555&gt;59, "Pension Age", M555&gt;44, "Elderly (45+)", M555&gt;29, "Middle Age (30+)", M555&gt;22, "Adult (23+)", M555&gt;15, "Teen/Young Adult (16+)")</f>
        <v>Pension Age</v>
      </c>
      <c r="O555" s="3" t="s">
        <v>15</v>
      </c>
    </row>
    <row r="556" spans="1:15" x14ac:dyDescent="0.3">
      <c r="A556" s="4">
        <v>18580</v>
      </c>
      <c r="B556" s="3" t="s">
        <v>39</v>
      </c>
      <c r="C556" s="3" t="s">
        <v>41</v>
      </c>
      <c r="D556" s="11">
        <v>60000</v>
      </c>
      <c r="E556" s="9" t="str" cm="1">
        <f t="array" ref="E556">_xlfn.IFS(D556&gt;149000, "Very High", D556&gt;99000, "High", D556&gt;59999, "Average", D556&gt;19999, "Low", D556&gt;0, "Poverty")</f>
        <v>Average</v>
      </c>
      <c r="F556" s="3">
        <v>2</v>
      </c>
      <c r="G556" t="s">
        <v>31</v>
      </c>
      <c r="H556" t="s">
        <v>21</v>
      </c>
      <c r="I556" s="3" t="s">
        <v>15</v>
      </c>
      <c r="J556" s="3">
        <v>0</v>
      </c>
      <c r="K556" t="s">
        <v>22</v>
      </c>
      <c r="L556" t="s">
        <v>32</v>
      </c>
      <c r="M556" s="3">
        <v>40</v>
      </c>
      <c r="N556" s="3" t="str" cm="1">
        <f t="array" ref="N556">_xlfn.IFS(M556&gt;59, "Pension Age", M556&gt;44, "Elderly (45+)", M556&gt;29, "Middle Age (30+)", M556&gt;22, "Adult (23+)", M556&gt;15, "Teen/Young Adult (16+)")</f>
        <v>Middle Age (30+)</v>
      </c>
      <c r="O556" s="3" t="s">
        <v>15</v>
      </c>
    </row>
    <row r="557" spans="1:15" x14ac:dyDescent="0.3">
      <c r="A557" s="4">
        <v>17025</v>
      </c>
      <c r="B557" s="3" t="s">
        <v>40</v>
      </c>
      <c r="C557" s="3" t="s">
        <v>42</v>
      </c>
      <c r="D557" s="11">
        <v>50000</v>
      </c>
      <c r="E557" s="9" t="str" cm="1">
        <f t="array" ref="E557">_xlfn.IFS(D557&gt;149000, "Very High", D557&gt;99000, "High", D557&gt;59999, "Average", D557&gt;19999, "Low", D557&gt;0, "Poverty")</f>
        <v>Low</v>
      </c>
      <c r="F557" s="3">
        <v>0</v>
      </c>
      <c r="G557" t="s">
        <v>19</v>
      </c>
      <c r="H557" t="s">
        <v>14</v>
      </c>
      <c r="I557" s="3" t="s">
        <v>18</v>
      </c>
      <c r="J557" s="3">
        <v>1</v>
      </c>
      <c r="K557" t="s">
        <v>22</v>
      </c>
      <c r="L557" t="s">
        <v>32</v>
      </c>
      <c r="M557" s="3">
        <v>39</v>
      </c>
      <c r="N557" s="3" t="str" cm="1">
        <f t="array" ref="N557">_xlfn.IFS(M557&gt;59, "Pension Age", M557&gt;44, "Elderly (45+)", M557&gt;29, "Middle Age (30+)", M557&gt;22, "Adult (23+)", M557&gt;15, "Teen/Young Adult (16+)")</f>
        <v>Middle Age (30+)</v>
      </c>
      <c r="O557" s="3" t="s">
        <v>15</v>
      </c>
    </row>
    <row r="558" spans="1:15" x14ac:dyDescent="0.3">
      <c r="A558" s="4">
        <v>25293</v>
      </c>
      <c r="B558" s="3" t="s">
        <v>39</v>
      </c>
      <c r="C558" s="3" t="s">
        <v>42</v>
      </c>
      <c r="D558" s="11">
        <v>80000</v>
      </c>
      <c r="E558" s="9" t="str" cm="1">
        <f t="array" ref="E558">_xlfn.IFS(D558&gt;149000, "Very High", D558&gt;99000, "High", D558&gt;59999, "Average", D558&gt;19999, "Low", D558&gt;0, "Poverty")</f>
        <v>Average</v>
      </c>
      <c r="F558" s="3">
        <v>4</v>
      </c>
      <c r="G558" t="s">
        <v>13</v>
      </c>
      <c r="H558" t="s">
        <v>28</v>
      </c>
      <c r="I558" s="3" t="s">
        <v>15</v>
      </c>
      <c r="J558" s="3">
        <v>0</v>
      </c>
      <c r="K558" t="s">
        <v>26</v>
      </c>
      <c r="L558" t="s">
        <v>32</v>
      </c>
      <c r="M558" s="3">
        <v>42</v>
      </c>
      <c r="N558" s="3" t="str" cm="1">
        <f t="array" ref="N558">_xlfn.IFS(M558&gt;59, "Pension Age", M558&gt;44, "Elderly (45+)", M558&gt;29, "Middle Age (30+)", M558&gt;22, "Adult (23+)", M558&gt;15, "Teen/Young Adult (16+)")</f>
        <v>Middle Age (30+)</v>
      </c>
      <c r="O558" s="3" t="s">
        <v>18</v>
      </c>
    </row>
    <row r="559" spans="1:15" x14ac:dyDescent="0.3">
      <c r="A559" s="4">
        <v>24725</v>
      </c>
      <c r="B559" s="3" t="s">
        <v>39</v>
      </c>
      <c r="C559" s="3" t="s">
        <v>41</v>
      </c>
      <c r="D559" s="11">
        <v>40000</v>
      </c>
      <c r="E559" s="9" t="str" cm="1">
        <f t="array" ref="E559">_xlfn.IFS(D559&gt;149000, "Very High", D559&gt;99000, "High", D559&gt;59999, "Average", D559&gt;19999, "Low", D559&gt;0, "Poverty")</f>
        <v>Low</v>
      </c>
      <c r="F559" s="3">
        <v>3</v>
      </c>
      <c r="G559" t="s">
        <v>19</v>
      </c>
      <c r="H559" t="s">
        <v>20</v>
      </c>
      <c r="I559" s="3" t="s">
        <v>15</v>
      </c>
      <c r="J559" s="3">
        <v>0</v>
      </c>
      <c r="K559" t="s">
        <v>26</v>
      </c>
      <c r="L559" t="s">
        <v>32</v>
      </c>
      <c r="M559" s="3">
        <v>31</v>
      </c>
      <c r="N559" s="3" t="str" cm="1">
        <f t="array" ref="N559">_xlfn.IFS(M559&gt;59, "Pension Age", M559&gt;44, "Elderly (45+)", M559&gt;29, "Middle Age (30+)", M559&gt;22, "Adult (23+)", M559&gt;15, "Teen/Young Adult (16+)")</f>
        <v>Middle Age (30+)</v>
      </c>
      <c r="O559" s="3" t="s">
        <v>18</v>
      </c>
    </row>
    <row r="560" spans="1:15" x14ac:dyDescent="0.3">
      <c r="A560" s="4">
        <v>23200</v>
      </c>
      <c r="B560" s="3" t="s">
        <v>39</v>
      </c>
      <c r="C560" s="3" t="s">
        <v>41</v>
      </c>
      <c r="D560" s="11">
        <v>50000</v>
      </c>
      <c r="E560" s="9" t="str" cm="1">
        <f t="array" ref="E560">_xlfn.IFS(D560&gt;149000, "Very High", D560&gt;99000, "High", D560&gt;59999, "Average", D560&gt;19999, "Low", D560&gt;0, "Poverty")</f>
        <v>Low</v>
      </c>
      <c r="F560" s="3">
        <v>3</v>
      </c>
      <c r="G560" t="s">
        <v>13</v>
      </c>
      <c r="H560" t="s">
        <v>14</v>
      </c>
      <c r="I560" s="3" t="s">
        <v>15</v>
      </c>
      <c r="J560" s="3">
        <v>2</v>
      </c>
      <c r="K560" t="s">
        <v>16</v>
      </c>
      <c r="L560" t="s">
        <v>32</v>
      </c>
      <c r="M560" s="3">
        <v>41</v>
      </c>
      <c r="N560" s="3" t="str" cm="1">
        <f t="array" ref="N560">_xlfn.IFS(M560&gt;59, "Pension Age", M560&gt;44, "Elderly (45+)", M560&gt;29, "Middle Age (30+)", M560&gt;22, "Adult (23+)", M560&gt;15, "Teen/Young Adult (16+)")</f>
        <v>Middle Age (30+)</v>
      </c>
      <c r="O560" s="3" t="s">
        <v>18</v>
      </c>
    </row>
    <row r="561" spans="1:15" x14ac:dyDescent="0.3">
      <c r="A561" s="4">
        <v>15895</v>
      </c>
      <c r="B561" s="3" t="s">
        <v>40</v>
      </c>
      <c r="C561" s="3" t="s">
        <v>41</v>
      </c>
      <c r="D561" s="11">
        <v>60000</v>
      </c>
      <c r="E561" s="9" t="str" cm="1">
        <f t="array" ref="E561">_xlfn.IFS(D561&gt;149000, "Very High", D561&gt;99000, "High", D561&gt;59999, "Average", D561&gt;19999, "Low", D561&gt;0, "Poverty")</f>
        <v>Average</v>
      </c>
      <c r="F561" s="3">
        <v>2</v>
      </c>
      <c r="G561" t="s">
        <v>13</v>
      </c>
      <c r="H561" t="s">
        <v>28</v>
      </c>
      <c r="I561" s="3" t="s">
        <v>15</v>
      </c>
      <c r="J561" s="3">
        <v>0</v>
      </c>
      <c r="K561" t="s">
        <v>30</v>
      </c>
      <c r="L561" t="s">
        <v>32</v>
      </c>
      <c r="M561" s="3">
        <v>58</v>
      </c>
      <c r="N561" s="3" t="str" cm="1">
        <f t="array" ref="N561">_xlfn.IFS(M561&gt;59, "Pension Age", M561&gt;44, "Elderly (45+)", M561&gt;29, "Middle Age (30+)", M561&gt;22, "Adult (23+)", M561&gt;15, "Teen/Young Adult (16+)")</f>
        <v>Elderly (45+)</v>
      </c>
      <c r="O561" s="3" t="s">
        <v>18</v>
      </c>
    </row>
    <row r="562" spans="1:15" x14ac:dyDescent="0.3">
      <c r="A562" s="4">
        <v>18577</v>
      </c>
      <c r="B562" s="3" t="s">
        <v>39</v>
      </c>
      <c r="C562" s="3" t="s">
        <v>41</v>
      </c>
      <c r="D562" s="11">
        <v>60000</v>
      </c>
      <c r="E562" s="9" t="str" cm="1">
        <f t="array" ref="E562">_xlfn.IFS(D562&gt;149000, "Very High", D562&gt;99000, "High", D562&gt;59999, "Average", D562&gt;19999, "Low", D562&gt;0, "Poverty")</f>
        <v>Average</v>
      </c>
      <c r="F562" s="3">
        <v>0</v>
      </c>
      <c r="G562" t="s">
        <v>31</v>
      </c>
      <c r="H562" t="s">
        <v>21</v>
      </c>
      <c r="I562" s="3" t="s">
        <v>15</v>
      </c>
      <c r="J562" s="3">
        <v>0</v>
      </c>
      <c r="K562" t="s">
        <v>16</v>
      </c>
      <c r="L562" t="s">
        <v>32</v>
      </c>
      <c r="M562" s="3">
        <v>40</v>
      </c>
      <c r="N562" s="3" t="str" cm="1">
        <f t="array" ref="N562">_xlfn.IFS(M562&gt;59, "Pension Age", M562&gt;44, "Elderly (45+)", M562&gt;29, "Middle Age (30+)", M562&gt;22, "Adult (23+)", M562&gt;15, "Teen/Young Adult (16+)")</f>
        <v>Middle Age (30+)</v>
      </c>
      <c r="O562" s="3" t="s">
        <v>18</v>
      </c>
    </row>
    <row r="563" spans="1:15" x14ac:dyDescent="0.3">
      <c r="A563" s="4">
        <v>27218</v>
      </c>
      <c r="B563" s="3" t="s">
        <v>39</v>
      </c>
      <c r="C563" s="3" t="s">
        <v>41</v>
      </c>
      <c r="D563" s="11">
        <v>20000</v>
      </c>
      <c r="E563" s="9" t="str" cm="1">
        <f t="array" ref="E563">_xlfn.IFS(D563&gt;149000, "Very High", D563&gt;99000, "High", D563&gt;59999, "Average", D563&gt;19999, "Low", D563&gt;0, "Poverty")</f>
        <v>Low</v>
      </c>
      <c r="F563" s="3">
        <v>2</v>
      </c>
      <c r="G563" t="s">
        <v>29</v>
      </c>
      <c r="H563" t="s">
        <v>20</v>
      </c>
      <c r="I563" s="3" t="s">
        <v>18</v>
      </c>
      <c r="J563" s="3">
        <v>0</v>
      </c>
      <c r="K563" t="s">
        <v>16</v>
      </c>
      <c r="L563" t="s">
        <v>32</v>
      </c>
      <c r="M563" s="3">
        <v>48</v>
      </c>
      <c r="N563" s="3" t="str" cm="1">
        <f t="array" ref="N563">_xlfn.IFS(M563&gt;59, "Pension Age", M563&gt;44, "Elderly (45+)", M563&gt;29, "Middle Age (30+)", M563&gt;22, "Adult (23+)", M563&gt;15, "Teen/Young Adult (16+)")</f>
        <v>Elderly (45+)</v>
      </c>
      <c r="O563" s="3" t="s">
        <v>18</v>
      </c>
    </row>
    <row r="564" spans="1:15" x14ac:dyDescent="0.3">
      <c r="A564" s="4">
        <v>18560</v>
      </c>
      <c r="B564" s="3" t="s">
        <v>39</v>
      </c>
      <c r="C564" s="3" t="s">
        <v>41</v>
      </c>
      <c r="D564" s="11">
        <v>70000</v>
      </c>
      <c r="E564" s="9" t="str" cm="1">
        <f t="array" ref="E564">_xlfn.IFS(D564&gt;149000, "Very High", D564&gt;99000, "High", D564&gt;59999, "Average", D564&gt;19999, "Low", D564&gt;0, "Poverty")</f>
        <v>Average</v>
      </c>
      <c r="F564" s="3">
        <v>2</v>
      </c>
      <c r="G564" t="s">
        <v>31</v>
      </c>
      <c r="H564" t="s">
        <v>21</v>
      </c>
      <c r="I564" s="3" t="s">
        <v>15</v>
      </c>
      <c r="J564" s="3">
        <v>0</v>
      </c>
      <c r="K564" t="s">
        <v>22</v>
      </c>
      <c r="L564" t="s">
        <v>32</v>
      </c>
      <c r="M564" s="3">
        <v>34</v>
      </c>
      <c r="N564" s="3" t="str" cm="1">
        <f t="array" ref="N564">_xlfn.IFS(M564&gt;59, "Pension Age", M564&gt;44, "Elderly (45+)", M564&gt;29, "Middle Age (30+)", M564&gt;22, "Adult (23+)", M564&gt;15, "Teen/Young Adult (16+)")</f>
        <v>Middle Age (30+)</v>
      </c>
      <c r="O564" s="3" t="s">
        <v>15</v>
      </c>
    </row>
    <row r="565" spans="1:15" x14ac:dyDescent="0.3">
      <c r="A565" s="4">
        <v>25006</v>
      </c>
      <c r="B565" s="3" t="s">
        <v>40</v>
      </c>
      <c r="C565" s="3" t="s">
        <v>41</v>
      </c>
      <c r="D565" s="11">
        <v>30000</v>
      </c>
      <c r="E565" s="9" t="str" cm="1">
        <f t="array" ref="E565">_xlfn.IFS(D565&gt;149000, "Very High", D565&gt;99000, "High", D565&gt;59999, "Average", D565&gt;19999, "Low", D565&gt;0, "Poverty")</f>
        <v>Low</v>
      </c>
      <c r="F565" s="3">
        <v>0</v>
      </c>
      <c r="G565" t="s">
        <v>19</v>
      </c>
      <c r="H565" t="s">
        <v>14</v>
      </c>
      <c r="I565" s="3" t="s">
        <v>15</v>
      </c>
      <c r="J565" s="3">
        <v>1</v>
      </c>
      <c r="K565" t="s">
        <v>23</v>
      </c>
      <c r="L565" t="s">
        <v>32</v>
      </c>
      <c r="M565" s="3">
        <v>28</v>
      </c>
      <c r="N565" s="3" t="str" cm="1">
        <f t="array" ref="N565">_xlfn.IFS(M565&gt;59, "Pension Age", M565&gt;44, "Elderly (45+)", M565&gt;29, "Middle Age (30+)", M565&gt;22, "Adult (23+)", M565&gt;15, "Teen/Young Adult (16+)")</f>
        <v>Adult (23+)</v>
      </c>
      <c r="O565" s="3" t="s">
        <v>18</v>
      </c>
    </row>
    <row r="566" spans="1:15" x14ac:dyDescent="0.3">
      <c r="A566" s="4">
        <v>17369</v>
      </c>
      <c r="B566" s="3" t="s">
        <v>40</v>
      </c>
      <c r="C566" s="3" t="s">
        <v>42</v>
      </c>
      <c r="D566" s="11">
        <v>30000</v>
      </c>
      <c r="E566" s="9" t="str" cm="1">
        <f t="array" ref="E566">_xlfn.IFS(D566&gt;149000, "Very High", D566&gt;99000, "High", D566&gt;59999, "Average", D566&gt;19999, "Low", D566&gt;0, "Poverty")</f>
        <v>Low</v>
      </c>
      <c r="F566" s="3">
        <v>0</v>
      </c>
      <c r="G566" t="s">
        <v>19</v>
      </c>
      <c r="H566" t="s">
        <v>14</v>
      </c>
      <c r="I566" s="3" t="s">
        <v>15</v>
      </c>
      <c r="J566" s="3">
        <v>1</v>
      </c>
      <c r="K566" t="s">
        <v>23</v>
      </c>
      <c r="L566" t="s">
        <v>32</v>
      </c>
      <c r="M566" s="3">
        <v>27</v>
      </c>
      <c r="N566" s="3" t="str" cm="1">
        <f t="array" ref="N566">_xlfn.IFS(M566&gt;59, "Pension Age", M566&gt;44, "Elderly (45+)", M566&gt;29, "Middle Age (30+)", M566&gt;22, "Adult (23+)", M566&gt;15, "Teen/Young Adult (16+)")</f>
        <v>Adult (23+)</v>
      </c>
      <c r="O566" s="3" t="s">
        <v>18</v>
      </c>
    </row>
    <row r="567" spans="1:15" x14ac:dyDescent="0.3">
      <c r="A567" s="4">
        <v>14495</v>
      </c>
      <c r="B567" s="3" t="s">
        <v>39</v>
      </c>
      <c r="C567" s="3" t="s">
        <v>42</v>
      </c>
      <c r="D567" s="11">
        <v>40000</v>
      </c>
      <c r="E567" s="9" t="str" cm="1">
        <f t="array" ref="E567">_xlfn.IFS(D567&gt;149000, "Very High", D567&gt;99000, "High", D567&gt;59999, "Average", D567&gt;19999, "Low", D567&gt;0, "Poverty")</f>
        <v>Low</v>
      </c>
      <c r="F567" s="3">
        <v>3</v>
      </c>
      <c r="G567" t="s">
        <v>19</v>
      </c>
      <c r="H567" t="s">
        <v>21</v>
      </c>
      <c r="I567" s="3" t="s">
        <v>18</v>
      </c>
      <c r="J567" s="3">
        <v>2</v>
      </c>
      <c r="K567" t="s">
        <v>23</v>
      </c>
      <c r="L567" t="s">
        <v>32</v>
      </c>
      <c r="M567" s="3">
        <v>54</v>
      </c>
      <c r="N567" s="3" t="str" cm="1">
        <f t="array" ref="N567">_xlfn.IFS(M567&gt;59, "Pension Age", M567&gt;44, "Elderly (45+)", M567&gt;29, "Middle Age (30+)", M567&gt;22, "Adult (23+)", M567&gt;15, "Teen/Young Adult (16+)")</f>
        <v>Elderly (45+)</v>
      </c>
      <c r="O567" s="3" t="s">
        <v>15</v>
      </c>
    </row>
    <row r="568" spans="1:15" x14ac:dyDescent="0.3">
      <c r="A568" s="4">
        <v>18847</v>
      </c>
      <c r="B568" s="3" t="s">
        <v>39</v>
      </c>
      <c r="C568" s="3" t="s">
        <v>41</v>
      </c>
      <c r="D568" s="11">
        <v>60000</v>
      </c>
      <c r="E568" s="9" t="str" cm="1">
        <f t="array" ref="E568">_xlfn.IFS(D568&gt;149000, "Very High", D568&gt;99000, "High", D568&gt;59999, "Average", D568&gt;19999, "Low", D568&gt;0, "Poverty")</f>
        <v>Average</v>
      </c>
      <c r="F568" s="3">
        <v>2</v>
      </c>
      <c r="G568" t="s">
        <v>31</v>
      </c>
      <c r="H568" t="s">
        <v>28</v>
      </c>
      <c r="I568" s="3" t="s">
        <v>15</v>
      </c>
      <c r="J568" s="3">
        <v>2</v>
      </c>
      <c r="K568" t="s">
        <v>23</v>
      </c>
      <c r="L568" t="s">
        <v>32</v>
      </c>
      <c r="M568" s="3">
        <v>70</v>
      </c>
      <c r="N568" s="3" t="str" cm="1">
        <f t="array" ref="N568">_xlfn.IFS(M568&gt;59, "Pension Age", M568&gt;44, "Elderly (45+)", M568&gt;29, "Middle Age (30+)", M568&gt;22, "Adult (23+)", M568&gt;15, "Teen/Young Adult (16+)")</f>
        <v>Pension Age</v>
      </c>
      <c r="O568" s="3" t="s">
        <v>18</v>
      </c>
    </row>
    <row r="569" spans="1:15" x14ac:dyDescent="0.3">
      <c r="A569" s="4">
        <v>14754</v>
      </c>
      <c r="B569" s="3" t="s">
        <v>39</v>
      </c>
      <c r="C569" s="3" t="s">
        <v>42</v>
      </c>
      <c r="D569" s="11">
        <v>40000</v>
      </c>
      <c r="E569" s="9" t="str" cm="1">
        <f t="array" ref="E569">_xlfn.IFS(D569&gt;149000, "Very High", D569&gt;99000, "High", D569&gt;59999, "Average", D569&gt;19999, "Low", D569&gt;0, "Poverty")</f>
        <v>Low</v>
      </c>
      <c r="F569" s="3">
        <v>1</v>
      </c>
      <c r="G569" t="s">
        <v>19</v>
      </c>
      <c r="H569" t="s">
        <v>20</v>
      </c>
      <c r="I569" s="3" t="s">
        <v>15</v>
      </c>
      <c r="J569" s="3">
        <v>1</v>
      </c>
      <c r="K569" t="s">
        <v>26</v>
      </c>
      <c r="L569" t="s">
        <v>32</v>
      </c>
      <c r="M569" s="3">
        <v>48</v>
      </c>
      <c r="N569" s="3" t="str" cm="1">
        <f t="array" ref="N569">_xlfn.IFS(M569&gt;59, "Pension Age", M569&gt;44, "Elderly (45+)", M569&gt;29, "Middle Age (30+)", M569&gt;22, "Adult (23+)", M569&gt;15, "Teen/Young Adult (16+)")</f>
        <v>Elderly (45+)</v>
      </c>
      <c r="O569" s="3" t="s">
        <v>15</v>
      </c>
    </row>
    <row r="570" spans="1:15" x14ac:dyDescent="0.3">
      <c r="A570" s="4">
        <v>23378</v>
      </c>
      <c r="B570" s="3" t="s">
        <v>39</v>
      </c>
      <c r="C570" s="3" t="s">
        <v>42</v>
      </c>
      <c r="D570" s="11">
        <v>70000</v>
      </c>
      <c r="E570" s="9" t="str" cm="1">
        <f t="array" ref="E570">_xlfn.IFS(D570&gt;149000, "Very High", D570&gt;99000, "High", D570&gt;59999, "Average", D570&gt;19999, "Low", D570&gt;0, "Poverty")</f>
        <v>Average</v>
      </c>
      <c r="F570" s="3">
        <v>1</v>
      </c>
      <c r="G570" t="s">
        <v>19</v>
      </c>
      <c r="H570" t="s">
        <v>14</v>
      </c>
      <c r="I570" s="3" t="s">
        <v>15</v>
      </c>
      <c r="J570" s="3">
        <v>1</v>
      </c>
      <c r="K570" t="s">
        <v>22</v>
      </c>
      <c r="L570" t="s">
        <v>32</v>
      </c>
      <c r="M570" s="3">
        <v>44</v>
      </c>
      <c r="N570" s="3" t="str" cm="1">
        <f t="array" ref="N570">_xlfn.IFS(M570&gt;59, "Pension Age", M570&gt;44, "Elderly (45+)", M570&gt;29, "Middle Age (30+)", M570&gt;22, "Adult (23+)", M570&gt;15, "Teen/Young Adult (16+)")</f>
        <v>Middle Age (30+)</v>
      </c>
      <c r="O570" s="3" t="s">
        <v>15</v>
      </c>
    </row>
    <row r="571" spans="1:15" x14ac:dyDescent="0.3">
      <c r="A571" s="4">
        <v>26452</v>
      </c>
      <c r="B571" s="3" t="s">
        <v>40</v>
      </c>
      <c r="C571" s="3" t="s">
        <v>42</v>
      </c>
      <c r="D571" s="11">
        <v>50000</v>
      </c>
      <c r="E571" s="9" t="str" cm="1">
        <f t="array" ref="E571">_xlfn.IFS(D571&gt;149000, "Very High", D571&gt;99000, "High", D571&gt;59999, "Average", D571&gt;19999, "Low", D571&gt;0, "Poverty")</f>
        <v>Low</v>
      </c>
      <c r="F571" s="3">
        <v>3</v>
      </c>
      <c r="G571" t="s">
        <v>31</v>
      </c>
      <c r="H571" t="s">
        <v>28</v>
      </c>
      <c r="I571" s="3" t="s">
        <v>15</v>
      </c>
      <c r="J571" s="3">
        <v>2</v>
      </c>
      <c r="K571" t="s">
        <v>30</v>
      </c>
      <c r="L571" t="s">
        <v>32</v>
      </c>
      <c r="M571" s="3">
        <v>69</v>
      </c>
      <c r="N571" s="3" t="str" cm="1">
        <f t="array" ref="N571">_xlfn.IFS(M571&gt;59, "Pension Age", M571&gt;44, "Elderly (45+)", M571&gt;29, "Middle Age (30+)", M571&gt;22, "Adult (23+)", M571&gt;15, "Teen/Young Adult (16+)")</f>
        <v>Pension Age</v>
      </c>
      <c r="O571" s="3" t="s">
        <v>18</v>
      </c>
    </row>
    <row r="572" spans="1:15" x14ac:dyDescent="0.3">
      <c r="A572" s="4">
        <v>20370</v>
      </c>
      <c r="B572" s="3" t="s">
        <v>39</v>
      </c>
      <c r="C572" s="3" t="s">
        <v>42</v>
      </c>
      <c r="D572" s="11">
        <v>70000</v>
      </c>
      <c r="E572" s="9" t="str" cm="1">
        <f t="array" ref="E572">_xlfn.IFS(D572&gt;149000, "Very High", D572&gt;99000, "High", D572&gt;59999, "Average", D572&gt;19999, "Low", D572&gt;0, "Poverty")</f>
        <v>Average</v>
      </c>
      <c r="F572" s="3">
        <v>3</v>
      </c>
      <c r="G572" t="s">
        <v>29</v>
      </c>
      <c r="H572" t="s">
        <v>14</v>
      </c>
      <c r="I572" s="3" t="s">
        <v>15</v>
      </c>
      <c r="J572" s="3">
        <v>2</v>
      </c>
      <c r="K572" t="s">
        <v>23</v>
      </c>
      <c r="L572" t="s">
        <v>32</v>
      </c>
      <c r="M572" s="3">
        <v>52</v>
      </c>
      <c r="N572" s="3" t="str" cm="1">
        <f t="array" ref="N572">_xlfn.IFS(M572&gt;59, "Pension Age", M572&gt;44, "Elderly (45+)", M572&gt;29, "Middle Age (30+)", M572&gt;22, "Adult (23+)", M572&gt;15, "Teen/Young Adult (16+)")</f>
        <v>Elderly (45+)</v>
      </c>
      <c r="O572" s="3" t="s">
        <v>18</v>
      </c>
    </row>
    <row r="573" spans="1:15" x14ac:dyDescent="0.3">
      <c r="A573" s="4">
        <v>20528</v>
      </c>
      <c r="B573" s="3" t="s">
        <v>39</v>
      </c>
      <c r="C573" s="3" t="s">
        <v>42</v>
      </c>
      <c r="D573" s="11">
        <v>40000</v>
      </c>
      <c r="E573" s="9" t="str" cm="1">
        <f t="array" ref="E573">_xlfn.IFS(D573&gt;149000, "Very High", D573&gt;99000, "High", D573&gt;59999, "Average", D573&gt;19999, "Low", D573&gt;0, "Poverty")</f>
        <v>Low</v>
      </c>
      <c r="F573" s="3">
        <v>2</v>
      </c>
      <c r="G573" t="s">
        <v>29</v>
      </c>
      <c r="H573" t="s">
        <v>14</v>
      </c>
      <c r="I573" s="3" t="s">
        <v>15</v>
      </c>
      <c r="J573" s="3">
        <v>2</v>
      </c>
      <c r="K573" t="s">
        <v>22</v>
      </c>
      <c r="L573" t="s">
        <v>32</v>
      </c>
      <c r="M573" s="3">
        <v>55</v>
      </c>
      <c r="N573" s="3" t="str" cm="1">
        <f t="array" ref="N573">_xlfn.IFS(M573&gt;59, "Pension Age", M573&gt;44, "Elderly (45+)", M573&gt;29, "Middle Age (30+)", M573&gt;22, "Adult (23+)", M573&gt;15, "Teen/Young Adult (16+)")</f>
        <v>Elderly (45+)</v>
      </c>
      <c r="O573" s="3" t="s">
        <v>18</v>
      </c>
    </row>
    <row r="574" spans="1:15" x14ac:dyDescent="0.3">
      <c r="A574" s="4">
        <v>23549</v>
      </c>
      <c r="B574" s="3" t="s">
        <v>40</v>
      </c>
      <c r="C574" s="3" t="s">
        <v>42</v>
      </c>
      <c r="D574" s="11">
        <v>30000</v>
      </c>
      <c r="E574" s="9" t="str" cm="1">
        <f t="array" ref="E574">_xlfn.IFS(D574&gt;149000, "Very High", D574&gt;99000, "High", D574&gt;59999, "Average", D574&gt;19999, "Low", D574&gt;0, "Poverty")</f>
        <v>Low</v>
      </c>
      <c r="F574" s="3">
        <v>0</v>
      </c>
      <c r="G574" t="s">
        <v>27</v>
      </c>
      <c r="H574" t="s">
        <v>14</v>
      </c>
      <c r="I574" s="3" t="s">
        <v>15</v>
      </c>
      <c r="J574" s="3">
        <v>2</v>
      </c>
      <c r="K574" t="s">
        <v>23</v>
      </c>
      <c r="L574" t="s">
        <v>32</v>
      </c>
      <c r="M574" s="3">
        <v>30</v>
      </c>
      <c r="N574" s="3" t="str" cm="1">
        <f t="array" ref="N574">_xlfn.IFS(M574&gt;59, "Pension Age", M574&gt;44, "Elderly (45+)", M574&gt;29, "Middle Age (30+)", M574&gt;22, "Adult (23+)", M574&gt;15, "Teen/Young Adult (16+)")</f>
        <v>Middle Age (30+)</v>
      </c>
      <c r="O574" s="3" t="s">
        <v>18</v>
      </c>
    </row>
    <row r="575" spans="1:15" x14ac:dyDescent="0.3">
      <c r="A575" s="4">
        <v>21751</v>
      </c>
      <c r="B575" s="3" t="s">
        <v>39</v>
      </c>
      <c r="C575" s="3" t="s">
        <v>42</v>
      </c>
      <c r="D575" s="11">
        <v>60000</v>
      </c>
      <c r="E575" s="9" t="str" cm="1">
        <f t="array" ref="E575">_xlfn.IFS(D575&gt;149000, "Very High", D575&gt;99000, "High", D575&gt;59999, "Average", D575&gt;19999, "Low", D575&gt;0, "Poverty")</f>
        <v>Average</v>
      </c>
      <c r="F575" s="3">
        <v>3</v>
      </c>
      <c r="G575" t="s">
        <v>31</v>
      </c>
      <c r="H575" t="s">
        <v>28</v>
      </c>
      <c r="I575" s="3" t="s">
        <v>15</v>
      </c>
      <c r="J575" s="3">
        <v>2</v>
      </c>
      <c r="K575" t="s">
        <v>26</v>
      </c>
      <c r="L575" t="s">
        <v>32</v>
      </c>
      <c r="M575" s="3">
        <v>63</v>
      </c>
      <c r="N575" s="3" t="str" cm="1">
        <f t="array" ref="N575">_xlfn.IFS(M575&gt;59, "Pension Age", M575&gt;44, "Elderly (45+)", M575&gt;29, "Middle Age (30+)", M575&gt;22, "Adult (23+)", M575&gt;15, "Teen/Young Adult (16+)")</f>
        <v>Pension Age</v>
      </c>
      <c r="O575" s="3" t="s">
        <v>18</v>
      </c>
    </row>
    <row r="576" spans="1:15" x14ac:dyDescent="0.3">
      <c r="A576" s="4">
        <v>21266</v>
      </c>
      <c r="B576" s="3" t="s">
        <v>40</v>
      </c>
      <c r="C576" s="3" t="s">
        <v>41</v>
      </c>
      <c r="D576" s="11">
        <v>80000</v>
      </c>
      <c r="E576" s="9" t="str" cm="1">
        <f t="array" ref="E576">_xlfn.IFS(D576&gt;149000, "Very High", D576&gt;99000, "High", D576&gt;59999, "Average", D576&gt;19999, "Low", D576&gt;0, "Poverty")</f>
        <v>Average</v>
      </c>
      <c r="F576" s="3">
        <v>0</v>
      </c>
      <c r="G576" t="s">
        <v>13</v>
      </c>
      <c r="H576" t="s">
        <v>28</v>
      </c>
      <c r="I576" s="3" t="s">
        <v>15</v>
      </c>
      <c r="J576" s="3">
        <v>1</v>
      </c>
      <c r="K576" t="s">
        <v>26</v>
      </c>
      <c r="L576" t="s">
        <v>32</v>
      </c>
      <c r="M576" s="3">
        <v>34</v>
      </c>
      <c r="N576" s="3" t="str" cm="1">
        <f t="array" ref="N576">_xlfn.IFS(M576&gt;59, "Pension Age", M576&gt;44, "Elderly (45+)", M576&gt;29, "Middle Age (30+)", M576&gt;22, "Adult (23+)", M576&gt;15, "Teen/Young Adult (16+)")</f>
        <v>Middle Age (30+)</v>
      </c>
      <c r="O576" s="3" t="s">
        <v>15</v>
      </c>
    </row>
    <row r="577" spans="1:15" x14ac:dyDescent="0.3">
      <c r="A577" s="4">
        <v>13388</v>
      </c>
      <c r="B577" s="3" t="s">
        <v>40</v>
      </c>
      <c r="C577" s="3" t="s">
        <v>42</v>
      </c>
      <c r="D577" s="11">
        <v>60000</v>
      </c>
      <c r="E577" s="9" t="str" cm="1">
        <f t="array" ref="E577">_xlfn.IFS(D577&gt;149000, "Very High", D577&gt;99000, "High", D577&gt;59999, "Average", D577&gt;19999, "Low", D577&gt;0, "Poverty")</f>
        <v>Average</v>
      </c>
      <c r="F577" s="3">
        <v>2</v>
      </c>
      <c r="G577" t="s">
        <v>19</v>
      </c>
      <c r="H577" t="s">
        <v>21</v>
      </c>
      <c r="I577" s="3" t="s">
        <v>15</v>
      </c>
      <c r="J577" s="3">
        <v>1</v>
      </c>
      <c r="K577" t="s">
        <v>30</v>
      </c>
      <c r="L577" t="s">
        <v>32</v>
      </c>
      <c r="M577" s="3">
        <v>56</v>
      </c>
      <c r="N577" s="3" t="str" cm="1">
        <f t="array" ref="N577">_xlfn.IFS(M577&gt;59, "Pension Age", M577&gt;44, "Elderly (45+)", M577&gt;29, "Middle Age (30+)", M577&gt;22, "Adult (23+)", M577&gt;15, "Teen/Young Adult (16+)")</f>
        <v>Elderly (45+)</v>
      </c>
      <c r="O577" s="3" t="s">
        <v>18</v>
      </c>
    </row>
    <row r="578" spans="1:15" x14ac:dyDescent="0.3">
      <c r="A578" s="4">
        <v>18752</v>
      </c>
      <c r="B578" s="3" t="s">
        <v>40</v>
      </c>
      <c r="C578" s="3" t="s">
        <v>41</v>
      </c>
      <c r="D578" s="11">
        <v>40000</v>
      </c>
      <c r="E578" s="9" t="str" cm="1">
        <f t="array" ref="E578">_xlfn.IFS(D578&gt;149000, "Very High", D578&gt;99000, "High", D578&gt;59999, "Average", D578&gt;19999, "Low", D578&gt;0, "Poverty")</f>
        <v>Low</v>
      </c>
      <c r="F578" s="3">
        <v>0</v>
      </c>
      <c r="G578" t="s">
        <v>27</v>
      </c>
      <c r="H578" t="s">
        <v>14</v>
      </c>
      <c r="I578" s="3" t="s">
        <v>15</v>
      </c>
      <c r="J578" s="3">
        <v>1</v>
      </c>
      <c r="K578" t="s">
        <v>23</v>
      </c>
      <c r="L578" t="s">
        <v>32</v>
      </c>
      <c r="M578" s="3">
        <v>31</v>
      </c>
      <c r="N578" s="3" t="str" cm="1">
        <f t="array" ref="N578">_xlfn.IFS(M578&gt;59, "Pension Age", M578&gt;44, "Elderly (45+)", M578&gt;29, "Middle Age (30+)", M578&gt;22, "Adult (23+)", M578&gt;15, "Teen/Young Adult (16+)")</f>
        <v>Middle Age (30+)</v>
      </c>
      <c r="O578" s="3" t="s">
        <v>18</v>
      </c>
    </row>
    <row r="579" spans="1:15" x14ac:dyDescent="0.3">
      <c r="A579" s="4">
        <v>16917</v>
      </c>
      <c r="B579" s="3" t="s">
        <v>39</v>
      </c>
      <c r="C579" s="3" t="s">
        <v>42</v>
      </c>
      <c r="D579" s="11">
        <v>120000</v>
      </c>
      <c r="E579" s="9" t="str" cm="1">
        <f t="array" ref="E579">_xlfn.IFS(D579&gt;149000, "Very High", D579&gt;99000, "High", D579&gt;59999, "Average", D579&gt;19999, "Low", D579&gt;0, "Poverty")</f>
        <v>High</v>
      </c>
      <c r="F579" s="3">
        <v>1</v>
      </c>
      <c r="G579" t="s">
        <v>13</v>
      </c>
      <c r="H579" t="s">
        <v>28</v>
      </c>
      <c r="I579" s="3" t="s">
        <v>15</v>
      </c>
      <c r="J579" s="3">
        <v>4</v>
      </c>
      <c r="K579" t="s">
        <v>16</v>
      </c>
      <c r="L579" t="s">
        <v>32</v>
      </c>
      <c r="M579" s="3">
        <v>38</v>
      </c>
      <c r="N579" s="3" t="str" cm="1">
        <f t="array" ref="N579">_xlfn.IFS(M579&gt;59, "Pension Age", M579&gt;44, "Elderly (45+)", M579&gt;29, "Middle Age (30+)", M579&gt;22, "Adult (23+)", M579&gt;15, "Teen/Young Adult (16+)")</f>
        <v>Middle Age (30+)</v>
      </c>
      <c r="O579" s="3" t="s">
        <v>18</v>
      </c>
    </row>
    <row r="580" spans="1:15" x14ac:dyDescent="0.3">
      <c r="A580" s="4">
        <v>15313</v>
      </c>
      <c r="B580" s="3" t="s">
        <v>39</v>
      </c>
      <c r="C580" s="3" t="s">
        <v>42</v>
      </c>
      <c r="D580" s="11">
        <v>60000</v>
      </c>
      <c r="E580" s="9" t="str" cm="1">
        <f t="array" ref="E580">_xlfn.IFS(D580&gt;149000, "Very High", D580&gt;99000, "High", D580&gt;59999, "Average", D580&gt;19999, "Low", D580&gt;0, "Poverty")</f>
        <v>Average</v>
      </c>
      <c r="F580" s="3">
        <v>4</v>
      </c>
      <c r="G580" t="s">
        <v>13</v>
      </c>
      <c r="H580" t="s">
        <v>28</v>
      </c>
      <c r="I580" s="3" t="s">
        <v>15</v>
      </c>
      <c r="J580" s="3">
        <v>2</v>
      </c>
      <c r="K580" t="s">
        <v>22</v>
      </c>
      <c r="L580" t="s">
        <v>32</v>
      </c>
      <c r="M580" s="3">
        <v>59</v>
      </c>
      <c r="N580" s="3" t="str" cm="1">
        <f t="array" ref="N580">_xlfn.IFS(M580&gt;59, "Pension Age", M580&gt;44, "Elderly (45+)", M580&gt;29, "Middle Age (30+)", M580&gt;22, "Adult (23+)", M580&gt;15, "Teen/Young Adult (16+)")</f>
        <v>Elderly (45+)</v>
      </c>
      <c r="O580" s="3" t="s">
        <v>18</v>
      </c>
    </row>
    <row r="581" spans="1:15" x14ac:dyDescent="0.3">
      <c r="A581" s="4">
        <v>25329</v>
      </c>
      <c r="B581" s="3" t="s">
        <v>40</v>
      </c>
      <c r="C581" s="3" t="s">
        <v>41</v>
      </c>
      <c r="D581" s="11">
        <v>40000</v>
      </c>
      <c r="E581" s="9" t="str" cm="1">
        <f t="array" ref="E581">_xlfn.IFS(D581&gt;149000, "Very High", D581&gt;99000, "High", D581&gt;59999, "Average", D581&gt;19999, "Low", D581&gt;0, "Poverty")</f>
        <v>Low</v>
      </c>
      <c r="F581" s="3">
        <v>3</v>
      </c>
      <c r="G581" t="s">
        <v>19</v>
      </c>
      <c r="H581" t="s">
        <v>20</v>
      </c>
      <c r="I581" s="3" t="s">
        <v>18</v>
      </c>
      <c r="J581" s="3">
        <v>2</v>
      </c>
      <c r="K581" t="s">
        <v>16</v>
      </c>
      <c r="L581" t="s">
        <v>32</v>
      </c>
      <c r="M581" s="3">
        <v>32</v>
      </c>
      <c r="N581" s="3" t="str" cm="1">
        <f t="array" ref="N581">_xlfn.IFS(M581&gt;59, "Pension Age", M581&gt;44, "Elderly (45+)", M581&gt;29, "Middle Age (30+)", M581&gt;22, "Adult (23+)", M581&gt;15, "Teen/Young Adult (16+)")</f>
        <v>Middle Age (30+)</v>
      </c>
      <c r="O581" s="3" t="s">
        <v>18</v>
      </c>
    </row>
    <row r="582" spans="1:15" x14ac:dyDescent="0.3">
      <c r="A582" s="4">
        <v>20380</v>
      </c>
      <c r="B582" s="3" t="s">
        <v>39</v>
      </c>
      <c r="C582" s="3" t="s">
        <v>41</v>
      </c>
      <c r="D582" s="11">
        <v>60000</v>
      </c>
      <c r="E582" s="9" t="str" cm="1">
        <f t="array" ref="E582">_xlfn.IFS(D582&gt;149000, "Very High", D582&gt;99000, "High", D582&gt;59999, "Average", D582&gt;19999, "Low", D582&gt;0, "Poverty")</f>
        <v>Average</v>
      </c>
      <c r="F582" s="3">
        <v>3</v>
      </c>
      <c r="G582" t="s">
        <v>31</v>
      </c>
      <c r="H582" t="s">
        <v>28</v>
      </c>
      <c r="I582" s="3" t="s">
        <v>15</v>
      </c>
      <c r="J582" s="3">
        <v>2</v>
      </c>
      <c r="K582" t="s">
        <v>30</v>
      </c>
      <c r="L582" t="s">
        <v>32</v>
      </c>
      <c r="M582" s="3">
        <v>69</v>
      </c>
      <c r="N582" s="3" t="str" cm="1">
        <f t="array" ref="N582">_xlfn.IFS(M582&gt;59, "Pension Age", M582&gt;44, "Elderly (45+)", M582&gt;29, "Middle Age (30+)", M582&gt;22, "Adult (23+)", M582&gt;15, "Teen/Young Adult (16+)")</f>
        <v>Pension Age</v>
      </c>
      <c r="O582" s="3" t="s">
        <v>18</v>
      </c>
    </row>
    <row r="583" spans="1:15" x14ac:dyDescent="0.3">
      <c r="A583" s="4">
        <v>23089</v>
      </c>
      <c r="B583" s="3" t="s">
        <v>39</v>
      </c>
      <c r="C583" s="3" t="s">
        <v>42</v>
      </c>
      <c r="D583" s="11">
        <v>40000</v>
      </c>
      <c r="E583" s="9" t="str" cm="1">
        <f t="array" ref="E583">_xlfn.IFS(D583&gt;149000, "Very High", D583&gt;99000, "High", D583&gt;59999, "Average", D583&gt;19999, "Low", D583&gt;0, "Poverty")</f>
        <v>Low</v>
      </c>
      <c r="F583" s="3">
        <v>0</v>
      </c>
      <c r="G583" t="s">
        <v>19</v>
      </c>
      <c r="H583" t="s">
        <v>14</v>
      </c>
      <c r="I583" s="3" t="s">
        <v>15</v>
      </c>
      <c r="J583" s="3">
        <v>1</v>
      </c>
      <c r="K583" t="s">
        <v>23</v>
      </c>
      <c r="L583" t="s">
        <v>32</v>
      </c>
      <c r="M583" s="3">
        <v>28</v>
      </c>
      <c r="N583" s="3" t="str" cm="1">
        <f t="array" ref="N583">_xlfn.IFS(M583&gt;59, "Pension Age", M583&gt;44, "Elderly (45+)", M583&gt;29, "Middle Age (30+)", M583&gt;22, "Adult (23+)", M583&gt;15, "Teen/Young Adult (16+)")</f>
        <v>Adult (23+)</v>
      </c>
      <c r="O583" s="3" t="s">
        <v>18</v>
      </c>
    </row>
    <row r="584" spans="1:15" x14ac:dyDescent="0.3">
      <c r="A584" s="4">
        <v>13749</v>
      </c>
      <c r="B584" s="3" t="s">
        <v>39</v>
      </c>
      <c r="C584" s="3" t="s">
        <v>42</v>
      </c>
      <c r="D584" s="11">
        <v>80000</v>
      </c>
      <c r="E584" s="9" t="str" cm="1">
        <f t="array" ref="E584">_xlfn.IFS(D584&gt;149000, "Very High", D584&gt;99000, "High", D584&gt;59999, "Average", D584&gt;19999, "Low", D584&gt;0, "Poverty")</f>
        <v>Average</v>
      </c>
      <c r="F584" s="3">
        <v>4</v>
      </c>
      <c r="G584" t="s">
        <v>31</v>
      </c>
      <c r="H584" t="s">
        <v>14</v>
      </c>
      <c r="I584" s="3" t="s">
        <v>15</v>
      </c>
      <c r="J584" s="3">
        <v>0</v>
      </c>
      <c r="K584" t="s">
        <v>26</v>
      </c>
      <c r="L584" t="s">
        <v>32</v>
      </c>
      <c r="M584" s="3">
        <v>47</v>
      </c>
      <c r="N584" s="3" t="str" cm="1">
        <f t="array" ref="N584">_xlfn.IFS(M584&gt;59, "Pension Age", M584&gt;44, "Elderly (45+)", M584&gt;29, "Middle Age (30+)", M584&gt;22, "Adult (23+)", M584&gt;15, "Teen/Young Adult (16+)")</f>
        <v>Elderly (45+)</v>
      </c>
      <c r="O584" s="3" t="s">
        <v>18</v>
      </c>
    </row>
    <row r="585" spans="1:15" x14ac:dyDescent="0.3">
      <c r="A585" s="4">
        <v>24943</v>
      </c>
      <c r="B585" s="3" t="s">
        <v>39</v>
      </c>
      <c r="C585" s="3" t="s">
        <v>42</v>
      </c>
      <c r="D585" s="11">
        <v>60000</v>
      </c>
      <c r="E585" s="9" t="str" cm="1">
        <f t="array" ref="E585">_xlfn.IFS(D585&gt;149000, "Very High", D585&gt;99000, "High", D585&gt;59999, "Average", D585&gt;19999, "Low", D585&gt;0, "Poverty")</f>
        <v>Average</v>
      </c>
      <c r="F585" s="3">
        <v>3</v>
      </c>
      <c r="G585" t="s">
        <v>13</v>
      </c>
      <c r="H585" t="s">
        <v>28</v>
      </c>
      <c r="I585" s="3" t="s">
        <v>15</v>
      </c>
      <c r="J585" s="3">
        <v>2</v>
      </c>
      <c r="K585" t="s">
        <v>30</v>
      </c>
      <c r="L585" t="s">
        <v>32</v>
      </c>
      <c r="M585" s="3">
        <v>66</v>
      </c>
      <c r="N585" s="3" t="str" cm="1">
        <f t="array" ref="N585">_xlfn.IFS(M585&gt;59, "Pension Age", M585&gt;44, "Elderly (45+)", M585&gt;29, "Middle Age (30+)", M585&gt;22, "Adult (23+)", M585&gt;15, "Teen/Young Adult (16+)")</f>
        <v>Pension Age</v>
      </c>
      <c r="O585" s="3" t="s">
        <v>18</v>
      </c>
    </row>
    <row r="586" spans="1:15" x14ac:dyDescent="0.3">
      <c r="A586" s="4">
        <v>28667</v>
      </c>
      <c r="B586" s="3" t="s">
        <v>40</v>
      </c>
      <c r="C586" s="3" t="s">
        <v>42</v>
      </c>
      <c r="D586" s="11">
        <v>70000</v>
      </c>
      <c r="E586" s="9" t="str" cm="1">
        <f t="array" ref="E586">_xlfn.IFS(D586&gt;149000, "Very High", D586&gt;99000, "High", D586&gt;59999, "Average", D586&gt;19999, "Low", D586&gt;0, "Poverty")</f>
        <v>Average</v>
      </c>
      <c r="F586" s="3">
        <v>2</v>
      </c>
      <c r="G586" t="s">
        <v>13</v>
      </c>
      <c r="H586" t="s">
        <v>14</v>
      </c>
      <c r="I586" s="3" t="s">
        <v>18</v>
      </c>
      <c r="J586" s="3">
        <v>1</v>
      </c>
      <c r="K586" t="s">
        <v>16</v>
      </c>
      <c r="L586" t="s">
        <v>32</v>
      </c>
      <c r="M586" s="3">
        <v>37</v>
      </c>
      <c r="N586" s="3" t="str" cm="1">
        <f t="array" ref="N586">_xlfn.IFS(M586&gt;59, "Pension Age", M586&gt;44, "Elderly (45+)", M586&gt;29, "Middle Age (30+)", M586&gt;22, "Adult (23+)", M586&gt;15, "Teen/Young Adult (16+)")</f>
        <v>Middle Age (30+)</v>
      </c>
      <c r="O586" s="3" t="s">
        <v>15</v>
      </c>
    </row>
    <row r="587" spans="1:15" x14ac:dyDescent="0.3">
      <c r="A587" s="4">
        <v>15194</v>
      </c>
      <c r="B587" s="3" t="s">
        <v>40</v>
      </c>
      <c r="C587" s="3" t="s">
        <v>42</v>
      </c>
      <c r="D587" s="11">
        <v>120000</v>
      </c>
      <c r="E587" s="9" t="str" cm="1">
        <f t="array" ref="E587">_xlfn.IFS(D587&gt;149000, "Very High", D587&gt;99000, "High", D587&gt;59999, "Average", D587&gt;19999, "Low", D587&gt;0, "Poverty")</f>
        <v>High</v>
      </c>
      <c r="F587" s="3">
        <v>2</v>
      </c>
      <c r="G587" t="s">
        <v>13</v>
      </c>
      <c r="H587" t="s">
        <v>28</v>
      </c>
      <c r="I587" s="3" t="s">
        <v>18</v>
      </c>
      <c r="J587" s="3">
        <v>3</v>
      </c>
      <c r="K587" t="s">
        <v>16</v>
      </c>
      <c r="L587" t="s">
        <v>32</v>
      </c>
      <c r="M587" s="3">
        <v>39</v>
      </c>
      <c r="N587" s="3" t="str" cm="1">
        <f t="array" ref="N587">_xlfn.IFS(M587&gt;59, "Pension Age", M587&gt;44, "Elderly (45+)", M587&gt;29, "Middle Age (30+)", M587&gt;22, "Adult (23+)", M587&gt;15, "Teen/Young Adult (16+)")</f>
        <v>Middle Age (30+)</v>
      </c>
      <c r="O587" s="3" t="s">
        <v>15</v>
      </c>
    </row>
    <row r="588" spans="1:15" x14ac:dyDescent="0.3">
      <c r="A588" s="4">
        <v>17436</v>
      </c>
      <c r="B588" s="3" t="s">
        <v>39</v>
      </c>
      <c r="C588" s="3" t="s">
        <v>42</v>
      </c>
      <c r="D588" s="11">
        <v>60000</v>
      </c>
      <c r="E588" s="9" t="str" cm="1">
        <f t="array" ref="E588">_xlfn.IFS(D588&gt;149000, "Very High", D588&gt;99000, "High", D588&gt;59999, "Average", D588&gt;19999, "Low", D588&gt;0, "Poverty")</f>
        <v>Average</v>
      </c>
      <c r="F588" s="3">
        <v>2</v>
      </c>
      <c r="G588" t="s">
        <v>27</v>
      </c>
      <c r="H588" t="s">
        <v>21</v>
      </c>
      <c r="I588" s="3" t="s">
        <v>18</v>
      </c>
      <c r="J588" s="3">
        <v>2</v>
      </c>
      <c r="K588" t="s">
        <v>26</v>
      </c>
      <c r="L588" t="s">
        <v>32</v>
      </c>
      <c r="M588" s="3">
        <v>51</v>
      </c>
      <c r="N588" s="3" t="str" cm="1">
        <f t="array" ref="N588">_xlfn.IFS(M588&gt;59, "Pension Age", M588&gt;44, "Elderly (45+)", M588&gt;29, "Middle Age (30+)", M588&gt;22, "Adult (23+)", M588&gt;15, "Teen/Young Adult (16+)")</f>
        <v>Elderly (45+)</v>
      </c>
      <c r="O588" s="3" t="s">
        <v>18</v>
      </c>
    </row>
    <row r="589" spans="1:15" x14ac:dyDescent="0.3">
      <c r="A589" s="4">
        <v>18935</v>
      </c>
      <c r="B589" s="3" t="s">
        <v>39</v>
      </c>
      <c r="C589" s="3" t="s">
        <v>41</v>
      </c>
      <c r="D589" s="11">
        <v>130000</v>
      </c>
      <c r="E589" s="9" t="str" cm="1">
        <f t="array" ref="E589">_xlfn.IFS(D589&gt;149000, "Very High", D589&gt;99000, "High", D589&gt;59999, "Average", D589&gt;19999, "Low", D589&gt;0, "Poverty")</f>
        <v>High</v>
      </c>
      <c r="F589" s="3">
        <v>0</v>
      </c>
      <c r="G589" t="s">
        <v>31</v>
      </c>
      <c r="H589" t="s">
        <v>28</v>
      </c>
      <c r="I589" s="3" t="s">
        <v>15</v>
      </c>
      <c r="J589" s="3">
        <v>3</v>
      </c>
      <c r="K589" t="s">
        <v>26</v>
      </c>
      <c r="L589" t="s">
        <v>32</v>
      </c>
      <c r="M589" s="3">
        <v>40</v>
      </c>
      <c r="N589" s="3" t="str" cm="1">
        <f t="array" ref="N589">_xlfn.IFS(M589&gt;59, "Pension Age", M589&gt;44, "Elderly (45+)", M589&gt;29, "Middle Age (30+)", M589&gt;22, "Adult (23+)", M589&gt;15, "Teen/Young Adult (16+)")</f>
        <v>Middle Age (30+)</v>
      </c>
      <c r="O589" s="3" t="s">
        <v>18</v>
      </c>
    </row>
    <row r="590" spans="1:15" x14ac:dyDescent="0.3">
      <c r="A590" s="4">
        <v>16871</v>
      </c>
      <c r="B590" s="3" t="s">
        <v>39</v>
      </c>
      <c r="C590" s="3" t="s">
        <v>41</v>
      </c>
      <c r="D590" s="11">
        <v>90000</v>
      </c>
      <c r="E590" s="9" t="str" cm="1">
        <f t="array" ref="E590">_xlfn.IFS(D590&gt;149000, "Very High", D590&gt;99000, "High", D590&gt;59999, "Average", D590&gt;19999, "Low", D590&gt;0, "Poverty")</f>
        <v>Average</v>
      </c>
      <c r="F590" s="3">
        <v>2</v>
      </c>
      <c r="G590" t="s">
        <v>27</v>
      </c>
      <c r="H590" t="s">
        <v>21</v>
      </c>
      <c r="I590" s="3" t="s">
        <v>15</v>
      </c>
      <c r="J590" s="3">
        <v>1</v>
      </c>
      <c r="K590" t="s">
        <v>30</v>
      </c>
      <c r="L590" t="s">
        <v>32</v>
      </c>
      <c r="M590" s="3">
        <v>51</v>
      </c>
      <c r="N590" s="3" t="str" cm="1">
        <f t="array" ref="N590">_xlfn.IFS(M590&gt;59, "Pension Age", M590&gt;44, "Elderly (45+)", M590&gt;29, "Middle Age (30+)", M590&gt;22, "Adult (23+)", M590&gt;15, "Teen/Young Adult (16+)")</f>
        <v>Elderly (45+)</v>
      </c>
      <c r="O590" s="3" t="s">
        <v>15</v>
      </c>
    </row>
    <row r="591" spans="1:15" x14ac:dyDescent="0.3">
      <c r="A591" s="4">
        <v>12100</v>
      </c>
      <c r="B591" s="3" t="s">
        <v>40</v>
      </c>
      <c r="C591" s="3" t="s">
        <v>42</v>
      </c>
      <c r="D591" s="11">
        <v>60000</v>
      </c>
      <c r="E591" s="9" t="str" cm="1">
        <f t="array" ref="E591">_xlfn.IFS(D591&gt;149000, "Very High", D591&gt;99000, "High", D591&gt;59999, "Average", D591&gt;19999, "Low", D591&gt;0, "Poverty")</f>
        <v>Average</v>
      </c>
      <c r="F591" s="3">
        <v>2</v>
      </c>
      <c r="G591" t="s">
        <v>13</v>
      </c>
      <c r="H591" t="s">
        <v>28</v>
      </c>
      <c r="I591" s="3" t="s">
        <v>15</v>
      </c>
      <c r="J591" s="3">
        <v>0</v>
      </c>
      <c r="K591" t="s">
        <v>30</v>
      </c>
      <c r="L591" t="s">
        <v>32</v>
      </c>
      <c r="M591" s="3">
        <v>57</v>
      </c>
      <c r="N591" s="3" t="str" cm="1">
        <f t="array" ref="N591">_xlfn.IFS(M591&gt;59, "Pension Age", M591&gt;44, "Elderly (45+)", M591&gt;29, "Middle Age (30+)", M591&gt;22, "Adult (23+)", M591&gt;15, "Teen/Young Adult (16+)")</f>
        <v>Elderly (45+)</v>
      </c>
      <c r="O591" s="3" t="s">
        <v>18</v>
      </c>
    </row>
    <row r="592" spans="1:15" x14ac:dyDescent="0.3">
      <c r="A592" s="4">
        <v>23158</v>
      </c>
      <c r="B592" s="3" t="s">
        <v>39</v>
      </c>
      <c r="C592" s="3" t="s">
        <v>41</v>
      </c>
      <c r="D592" s="11">
        <v>60000</v>
      </c>
      <c r="E592" s="9" t="str" cm="1">
        <f t="array" ref="E592">_xlfn.IFS(D592&gt;149000, "Very High", D592&gt;99000, "High", D592&gt;59999, "Average", D592&gt;19999, "Low", D592&gt;0, "Poverty")</f>
        <v>Average</v>
      </c>
      <c r="F592" s="3">
        <v>1</v>
      </c>
      <c r="G592" t="s">
        <v>31</v>
      </c>
      <c r="H592" t="s">
        <v>21</v>
      </c>
      <c r="I592" s="3" t="s">
        <v>18</v>
      </c>
      <c r="J592" s="3">
        <v>0</v>
      </c>
      <c r="K592" t="s">
        <v>16</v>
      </c>
      <c r="L592" t="s">
        <v>32</v>
      </c>
      <c r="M592" s="3">
        <v>35</v>
      </c>
      <c r="N592" s="3" t="str" cm="1">
        <f t="array" ref="N592">_xlfn.IFS(M592&gt;59, "Pension Age", M592&gt;44, "Elderly (45+)", M592&gt;29, "Middle Age (30+)", M592&gt;22, "Adult (23+)", M592&gt;15, "Teen/Young Adult (16+)")</f>
        <v>Middle Age (30+)</v>
      </c>
      <c r="O592" s="3" t="s">
        <v>15</v>
      </c>
    </row>
    <row r="593" spans="1:15" x14ac:dyDescent="0.3">
      <c r="A593" s="4">
        <v>18545</v>
      </c>
      <c r="B593" s="3" t="s">
        <v>39</v>
      </c>
      <c r="C593" s="3" t="s">
        <v>42</v>
      </c>
      <c r="D593" s="11">
        <v>40000</v>
      </c>
      <c r="E593" s="9" t="str" cm="1">
        <f t="array" ref="E593">_xlfn.IFS(D593&gt;149000, "Very High", D593&gt;99000, "High", D593&gt;59999, "Average", D593&gt;19999, "Low", D593&gt;0, "Poverty")</f>
        <v>Low</v>
      </c>
      <c r="F593" s="3">
        <v>4</v>
      </c>
      <c r="G593" t="s">
        <v>27</v>
      </c>
      <c r="H593" t="s">
        <v>21</v>
      </c>
      <c r="I593" s="3" t="s">
        <v>18</v>
      </c>
      <c r="J593" s="3">
        <v>2</v>
      </c>
      <c r="K593" t="s">
        <v>30</v>
      </c>
      <c r="L593" t="s">
        <v>32</v>
      </c>
      <c r="M593" s="3">
        <v>61</v>
      </c>
      <c r="N593" s="3" t="str" cm="1">
        <f t="array" ref="N593">_xlfn.IFS(M593&gt;59, "Pension Age", M593&gt;44, "Elderly (45+)", M593&gt;29, "Middle Age (30+)", M593&gt;22, "Adult (23+)", M593&gt;15, "Teen/Young Adult (16+)")</f>
        <v>Pension Age</v>
      </c>
      <c r="O593" s="3" t="s">
        <v>15</v>
      </c>
    </row>
    <row r="594" spans="1:15" x14ac:dyDescent="0.3">
      <c r="A594" s="4">
        <v>18391</v>
      </c>
      <c r="B594" s="3" t="s">
        <v>40</v>
      </c>
      <c r="C594" s="3" t="s">
        <v>41</v>
      </c>
      <c r="D594" s="11">
        <v>80000</v>
      </c>
      <c r="E594" s="9" t="str" cm="1">
        <f t="array" ref="E594">_xlfn.IFS(D594&gt;149000, "Very High", D594&gt;99000, "High", D594&gt;59999, "Average", D594&gt;19999, "Low", D594&gt;0, "Poverty")</f>
        <v>Average</v>
      </c>
      <c r="F594" s="3">
        <v>5</v>
      </c>
      <c r="G594" t="s">
        <v>19</v>
      </c>
      <c r="H594" t="s">
        <v>21</v>
      </c>
      <c r="I594" s="3" t="s">
        <v>15</v>
      </c>
      <c r="J594" s="3">
        <v>2</v>
      </c>
      <c r="K594" t="s">
        <v>23</v>
      </c>
      <c r="L594" t="s">
        <v>32</v>
      </c>
      <c r="M594" s="3">
        <v>44</v>
      </c>
      <c r="N594" s="3" t="str" cm="1">
        <f t="array" ref="N594">_xlfn.IFS(M594&gt;59, "Pension Age", M594&gt;44, "Elderly (45+)", M594&gt;29, "Middle Age (30+)", M594&gt;22, "Adult (23+)", M594&gt;15, "Teen/Young Adult (16+)")</f>
        <v>Middle Age (30+)</v>
      </c>
      <c r="O594" s="3" t="s">
        <v>18</v>
      </c>
    </row>
    <row r="595" spans="1:15" x14ac:dyDescent="0.3">
      <c r="A595" s="4">
        <v>19812</v>
      </c>
      <c r="B595" s="3" t="s">
        <v>40</v>
      </c>
      <c r="C595" s="3" t="s">
        <v>41</v>
      </c>
      <c r="D595" s="11">
        <v>70000</v>
      </c>
      <c r="E595" s="9" t="str" cm="1">
        <f t="array" ref="E595">_xlfn.IFS(D595&gt;149000, "Very High", D595&gt;99000, "High", D595&gt;59999, "Average", D595&gt;19999, "Low", D595&gt;0, "Poverty")</f>
        <v>Average</v>
      </c>
      <c r="F595" s="3">
        <v>2</v>
      </c>
      <c r="G595" t="s">
        <v>19</v>
      </c>
      <c r="H595" t="s">
        <v>21</v>
      </c>
      <c r="I595" s="3" t="s">
        <v>15</v>
      </c>
      <c r="J595" s="3">
        <v>0</v>
      </c>
      <c r="K595" t="s">
        <v>23</v>
      </c>
      <c r="L595" t="s">
        <v>32</v>
      </c>
      <c r="M595" s="3">
        <v>49</v>
      </c>
      <c r="N595" s="3" t="str" cm="1">
        <f t="array" ref="N595">_xlfn.IFS(M595&gt;59, "Pension Age", M595&gt;44, "Elderly (45+)", M595&gt;29, "Middle Age (30+)", M595&gt;22, "Adult (23+)", M595&gt;15, "Teen/Young Adult (16+)")</f>
        <v>Elderly (45+)</v>
      </c>
      <c r="O595" s="3" t="s">
        <v>15</v>
      </c>
    </row>
    <row r="596" spans="1:15" x14ac:dyDescent="0.3">
      <c r="A596" s="4">
        <v>27660</v>
      </c>
      <c r="B596" s="3" t="s">
        <v>39</v>
      </c>
      <c r="C596" s="3" t="s">
        <v>42</v>
      </c>
      <c r="D596" s="11">
        <v>80000</v>
      </c>
      <c r="E596" s="9" t="str" cm="1">
        <f t="array" ref="E596">_xlfn.IFS(D596&gt;149000, "Very High", D596&gt;99000, "High", D596&gt;59999, "Average", D596&gt;19999, "Low", D596&gt;0, "Poverty")</f>
        <v>Average</v>
      </c>
      <c r="F596" s="3">
        <v>4</v>
      </c>
      <c r="G596" t="s">
        <v>31</v>
      </c>
      <c r="H596" t="s">
        <v>28</v>
      </c>
      <c r="I596" s="3" t="s">
        <v>15</v>
      </c>
      <c r="J596" s="3">
        <v>2</v>
      </c>
      <c r="K596" t="s">
        <v>23</v>
      </c>
      <c r="L596" t="s">
        <v>32</v>
      </c>
      <c r="M596" s="3">
        <v>70</v>
      </c>
      <c r="N596" s="3" t="str" cm="1">
        <f t="array" ref="N596">_xlfn.IFS(M596&gt;59, "Pension Age", M596&gt;44, "Elderly (45+)", M596&gt;29, "Middle Age (30+)", M596&gt;22, "Adult (23+)", M596&gt;15, "Teen/Young Adult (16+)")</f>
        <v>Pension Age</v>
      </c>
      <c r="O596" s="3" t="s">
        <v>18</v>
      </c>
    </row>
    <row r="597" spans="1:15" x14ac:dyDescent="0.3">
      <c r="A597" s="4">
        <v>18058</v>
      </c>
      <c r="B597" s="3" t="s">
        <v>40</v>
      </c>
      <c r="C597" s="3" t="s">
        <v>41</v>
      </c>
      <c r="D597" s="11">
        <v>20000</v>
      </c>
      <c r="E597" s="9" t="str" cm="1">
        <f t="array" ref="E597">_xlfn.IFS(D597&gt;149000, "Very High", D597&gt;99000, "High", D597&gt;59999, "Average", D597&gt;19999, "Low", D597&gt;0, "Poverty")</f>
        <v>Low</v>
      </c>
      <c r="F597" s="3">
        <v>3</v>
      </c>
      <c r="G597" t="s">
        <v>27</v>
      </c>
      <c r="H597" t="s">
        <v>14</v>
      </c>
      <c r="I597" s="3" t="s">
        <v>15</v>
      </c>
      <c r="J597" s="3">
        <v>2</v>
      </c>
      <c r="K597" t="s">
        <v>22</v>
      </c>
      <c r="L597" t="s">
        <v>32</v>
      </c>
      <c r="M597" s="3">
        <v>78</v>
      </c>
      <c r="N597" s="3" t="str" cm="1">
        <f t="array" ref="N597">_xlfn.IFS(M597&gt;59, "Pension Age", M597&gt;44, "Elderly (45+)", M597&gt;29, "Middle Age (30+)", M597&gt;22, "Adult (23+)", M597&gt;15, "Teen/Young Adult (16+)")</f>
        <v>Pension Age</v>
      </c>
      <c r="O597" s="3" t="s">
        <v>18</v>
      </c>
    </row>
    <row r="598" spans="1:15" x14ac:dyDescent="0.3">
      <c r="A598" s="4">
        <v>20343</v>
      </c>
      <c r="B598" s="3" t="s">
        <v>39</v>
      </c>
      <c r="C598" s="3" t="s">
        <v>41</v>
      </c>
      <c r="D598" s="11">
        <v>90000</v>
      </c>
      <c r="E598" s="9" t="str" cm="1">
        <f t="array" ref="E598">_xlfn.IFS(D598&gt;149000, "Very High", D598&gt;99000, "High", D598&gt;59999, "Average", D598&gt;19999, "Low", D598&gt;0, "Poverty")</f>
        <v>Average</v>
      </c>
      <c r="F598" s="3">
        <v>4</v>
      </c>
      <c r="G598" t="s">
        <v>19</v>
      </c>
      <c r="H598" t="s">
        <v>21</v>
      </c>
      <c r="I598" s="3" t="s">
        <v>15</v>
      </c>
      <c r="J598" s="3">
        <v>1</v>
      </c>
      <c r="K598" t="s">
        <v>26</v>
      </c>
      <c r="L598" t="s">
        <v>32</v>
      </c>
      <c r="M598" s="3">
        <v>45</v>
      </c>
      <c r="N598" s="3" t="str" cm="1">
        <f t="array" ref="N598">_xlfn.IFS(M598&gt;59, "Pension Age", M598&gt;44, "Elderly (45+)", M598&gt;29, "Middle Age (30+)", M598&gt;22, "Adult (23+)", M598&gt;15, "Teen/Young Adult (16+)")</f>
        <v>Elderly (45+)</v>
      </c>
      <c r="O598" s="3" t="s">
        <v>18</v>
      </c>
    </row>
    <row r="599" spans="1:15" x14ac:dyDescent="0.3">
      <c r="A599" s="4">
        <v>28997</v>
      </c>
      <c r="B599" s="3" t="s">
        <v>40</v>
      </c>
      <c r="C599" s="3" t="s">
        <v>42</v>
      </c>
      <c r="D599" s="11">
        <v>40000</v>
      </c>
      <c r="E599" s="9" t="str" cm="1">
        <f t="array" ref="E599">_xlfn.IFS(D599&gt;149000, "Very High", D599&gt;99000, "High", D599&gt;59999, "Average", D599&gt;19999, "Low", D599&gt;0, "Poverty")</f>
        <v>Low</v>
      </c>
      <c r="F599" s="3">
        <v>2</v>
      </c>
      <c r="G599" t="s">
        <v>27</v>
      </c>
      <c r="H599" t="s">
        <v>21</v>
      </c>
      <c r="I599" s="3" t="s">
        <v>18</v>
      </c>
      <c r="J599" s="3">
        <v>1</v>
      </c>
      <c r="K599" t="s">
        <v>22</v>
      </c>
      <c r="L599" t="s">
        <v>32</v>
      </c>
      <c r="M599" s="3">
        <v>58</v>
      </c>
      <c r="N599" s="3" t="str" cm="1">
        <f t="array" ref="N599">_xlfn.IFS(M599&gt;59, "Pension Age", M599&gt;44, "Elderly (45+)", M599&gt;29, "Middle Age (30+)", M599&gt;22, "Adult (23+)", M599&gt;15, "Teen/Young Adult (16+)")</f>
        <v>Elderly (45+)</v>
      </c>
      <c r="O599" s="3" t="s">
        <v>15</v>
      </c>
    </row>
    <row r="600" spans="1:15" x14ac:dyDescent="0.3">
      <c r="A600" s="4">
        <v>24398</v>
      </c>
      <c r="B600" s="3" t="s">
        <v>39</v>
      </c>
      <c r="C600" s="3" t="s">
        <v>42</v>
      </c>
      <c r="D600" s="11">
        <v>130000</v>
      </c>
      <c r="E600" s="9" t="str" cm="1">
        <f t="array" ref="E600">_xlfn.IFS(D600&gt;149000, "Very High", D600&gt;99000, "High", D600&gt;59999, "Average", D600&gt;19999, "Low", D600&gt;0, "Poverty")</f>
        <v>High</v>
      </c>
      <c r="F600" s="3">
        <v>1</v>
      </c>
      <c r="G600" t="s">
        <v>31</v>
      </c>
      <c r="H600" t="s">
        <v>28</v>
      </c>
      <c r="I600" s="3" t="s">
        <v>15</v>
      </c>
      <c r="J600" s="3">
        <v>4</v>
      </c>
      <c r="K600" t="s">
        <v>16</v>
      </c>
      <c r="L600" t="s">
        <v>32</v>
      </c>
      <c r="M600" s="3">
        <v>41</v>
      </c>
      <c r="N600" s="3" t="str" cm="1">
        <f t="array" ref="N600">_xlfn.IFS(M600&gt;59, "Pension Age", M600&gt;44, "Elderly (45+)", M600&gt;29, "Middle Age (30+)", M600&gt;22, "Adult (23+)", M600&gt;15, "Teen/Young Adult (16+)")</f>
        <v>Middle Age (30+)</v>
      </c>
      <c r="O600" s="3" t="s">
        <v>18</v>
      </c>
    </row>
    <row r="601" spans="1:15" x14ac:dyDescent="0.3">
      <c r="A601" s="4">
        <v>19002</v>
      </c>
      <c r="B601" s="3" t="s">
        <v>39</v>
      </c>
      <c r="C601" s="3" t="s">
        <v>41</v>
      </c>
      <c r="D601" s="11">
        <v>60000</v>
      </c>
      <c r="E601" s="9" t="str" cm="1">
        <f t="array" ref="E601">_xlfn.IFS(D601&gt;149000, "Very High", D601&gt;99000, "High", D601&gt;59999, "Average", D601&gt;19999, "Low", D601&gt;0, "Poverty")</f>
        <v>Average</v>
      </c>
      <c r="F601" s="3">
        <v>2</v>
      </c>
      <c r="G601" t="s">
        <v>19</v>
      </c>
      <c r="H601" t="s">
        <v>21</v>
      </c>
      <c r="I601" s="3" t="s">
        <v>15</v>
      </c>
      <c r="J601" s="3">
        <v>1</v>
      </c>
      <c r="K601" t="s">
        <v>22</v>
      </c>
      <c r="L601" t="s">
        <v>32</v>
      </c>
      <c r="M601" s="3">
        <v>57</v>
      </c>
      <c r="N601" s="3" t="str" cm="1">
        <f t="array" ref="N601">_xlfn.IFS(M601&gt;59, "Pension Age", M601&gt;44, "Elderly (45+)", M601&gt;29, "Middle Age (30+)", M601&gt;22, "Adult (23+)", M601&gt;15, "Teen/Young Adult (16+)")</f>
        <v>Elderly (45+)</v>
      </c>
      <c r="O601" s="3" t="s">
        <v>15</v>
      </c>
    </row>
    <row r="602" spans="1:15" x14ac:dyDescent="0.3">
      <c r="A602" s="4">
        <v>28609</v>
      </c>
      <c r="B602" s="3" t="s">
        <v>39</v>
      </c>
      <c r="C602" s="3" t="s">
        <v>42</v>
      </c>
      <c r="D602" s="11">
        <v>30000</v>
      </c>
      <c r="E602" s="9" t="str" cm="1">
        <f t="array" ref="E602">_xlfn.IFS(D602&gt;149000, "Very High", D602&gt;99000, "High", D602&gt;59999, "Average", D602&gt;19999, "Low", D602&gt;0, "Poverty")</f>
        <v>Low</v>
      </c>
      <c r="F602" s="3">
        <v>2</v>
      </c>
      <c r="G602" t="s">
        <v>27</v>
      </c>
      <c r="H602" t="s">
        <v>14</v>
      </c>
      <c r="I602" s="3" t="s">
        <v>18</v>
      </c>
      <c r="J602" s="3">
        <v>2</v>
      </c>
      <c r="K602" t="s">
        <v>16</v>
      </c>
      <c r="L602" t="s">
        <v>32</v>
      </c>
      <c r="M602" s="3">
        <v>49</v>
      </c>
      <c r="N602" s="3" t="str" cm="1">
        <f t="array" ref="N602">_xlfn.IFS(M602&gt;59, "Pension Age", M602&gt;44, "Elderly (45+)", M602&gt;29, "Middle Age (30+)", M602&gt;22, "Adult (23+)", M602&gt;15, "Teen/Young Adult (16+)")</f>
        <v>Elderly (45+)</v>
      </c>
      <c r="O602" s="3" t="s">
        <v>18</v>
      </c>
    </row>
    <row r="603" spans="1:15" x14ac:dyDescent="0.3">
      <c r="A603" s="4">
        <v>29231</v>
      </c>
      <c r="B603" s="3" t="s">
        <v>40</v>
      </c>
      <c r="C603" s="3" t="s">
        <v>42</v>
      </c>
      <c r="D603" s="11">
        <v>80000</v>
      </c>
      <c r="E603" s="9" t="str" cm="1">
        <f t="array" ref="E603">_xlfn.IFS(D603&gt;149000, "Very High", D603&gt;99000, "High", D603&gt;59999, "Average", D603&gt;19999, "Low", D603&gt;0, "Poverty")</f>
        <v>Average</v>
      </c>
      <c r="F603" s="3">
        <v>4</v>
      </c>
      <c r="G603" t="s">
        <v>19</v>
      </c>
      <c r="H603" t="s">
        <v>21</v>
      </c>
      <c r="I603" s="3" t="s">
        <v>18</v>
      </c>
      <c r="J603" s="3">
        <v>2</v>
      </c>
      <c r="K603" t="s">
        <v>16</v>
      </c>
      <c r="L603" t="s">
        <v>32</v>
      </c>
      <c r="M603" s="3">
        <v>43</v>
      </c>
      <c r="N603" s="3" t="str" cm="1">
        <f t="array" ref="N603">_xlfn.IFS(M603&gt;59, "Pension Age", M603&gt;44, "Elderly (45+)", M603&gt;29, "Middle Age (30+)", M603&gt;22, "Adult (23+)", M603&gt;15, "Teen/Young Adult (16+)")</f>
        <v>Middle Age (30+)</v>
      </c>
      <c r="O603" s="3" t="s">
        <v>18</v>
      </c>
    </row>
    <row r="604" spans="1:15" x14ac:dyDescent="0.3">
      <c r="A604" s="4">
        <v>18858</v>
      </c>
      <c r="B604" s="3" t="s">
        <v>40</v>
      </c>
      <c r="C604" s="3" t="s">
        <v>42</v>
      </c>
      <c r="D604" s="11">
        <v>60000</v>
      </c>
      <c r="E604" s="9" t="str" cm="1">
        <f t="array" ref="E604">_xlfn.IFS(D604&gt;149000, "Very High", D604&gt;99000, "High", D604&gt;59999, "Average", D604&gt;19999, "Low", D604&gt;0, "Poverty")</f>
        <v>Average</v>
      </c>
      <c r="F604" s="3">
        <v>2</v>
      </c>
      <c r="G604" t="s">
        <v>29</v>
      </c>
      <c r="H604" t="s">
        <v>14</v>
      </c>
      <c r="I604" s="3" t="s">
        <v>15</v>
      </c>
      <c r="J604" s="3">
        <v>2</v>
      </c>
      <c r="K604" t="s">
        <v>23</v>
      </c>
      <c r="L604" t="s">
        <v>32</v>
      </c>
      <c r="M604" s="3">
        <v>52</v>
      </c>
      <c r="N604" s="3" t="str" cm="1">
        <f t="array" ref="N604">_xlfn.IFS(M604&gt;59, "Pension Age", M604&gt;44, "Elderly (45+)", M604&gt;29, "Middle Age (30+)", M604&gt;22, "Adult (23+)", M604&gt;15, "Teen/Young Adult (16+)")</f>
        <v>Elderly (45+)</v>
      </c>
      <c r="O604" s="3" t="s">
        <v>15</v>
      </c>
    </row>
    <row r="605" spans="1:15" x14ac:dyDescent="0.3">
      <c r="A605" s="4">
        <v>20000</v>
      </c>
      <c r="B605" s="3" t="s">
        <v>39</v>
      </c>
      <c r="C605" s="3" t="s">
        <v>42</v>
      </c>
      <c r="D605" s="11">
        <v>60000</v>
      </c>
      <c r="E605" s="9" t="str" cm="1">
        <f t="array" ref="E605">_xlfn.IFS(D605&gt;149000, "Very High", D605&gt;99000, "High", D605&gt;59999, "Average", D605&gt;19999, "Low", D605&gt;0, "Poverty")</f>
        <v>Average</v>
      </c>
      <c r="F605" s="3">
        <v>1</v>
      </c>
      <c r="G605" t="s">
        <v>31</v>
      </c>
      <c r="H605" t="s">
        <v>21</v>
      </c>
      <c r="I605" s="3" t="s">
        <v>15</v>
      </c>
      <c r="J605" s="3">
        <v>0</v>
      </c>
      <c r="K605" t="s">
        <v>16</v>
      </c>
      <c r="L605" t="s">
        <v>32</v>
      </c>
      <c r="M605" s="3">
        <v>35</v>
      </c>
      <c r="N605" s="3" t="str" cm="1">
        <f t="array" ref="N605">_xlfn.IFS(M605&gt;59, "Pension Age", M605&gt;44, "Elderly (45+)", M605&gt;29, "Middle Age (30+)", M605&gt;22, "Adult (23+)", M605&gt;15, "Teen/Young Adult (16+)")</f>
        <v>Middle Age (30+)</v>
      </c>
      <c r="O605" s="3" t="s">
        <v>15</v>
      </c>
    </row>
    <row r="606" spans="1:15" x14ac:dyDescent="0.3">
      <c r="A606" s="4">
        <v>25261</v>
      </c>
      <c r="B606" s="3" t="s">
        <v>39</v>
      </c>
      <c r="C606" s="3" t="s">
        <v>42</v>
      </c>
      <c r="D606" s="11">
        <v>40000</v>
      </c>
      <c r="E606" s="9" t="str" cm="1">
        <f t="array" ref="E606">_xlfn.IFS(D606&gt;149000, "Very High", D606&gt;99000, "High", D606&gt;59999, "Average", D606&gt;19999, "Low", D606&gt;0, "Poverty")</f>
        <v>Low</v>
      </c>
      <c r="F606" s="3">
        <v>0</v>
      </c>
      <c r="G606" t="s">
        <v>27</v>
      </c>
      <c r="H606" t="s">
        <v>14</v>
      </c>
      <c r="I606" s="3" t="s">
        <v>15</v>
      </c>
      <c r="J606" s="3">
        <v>2</v>
      </c>
      <c r="K606" t="s">
        <v>23</v>
      </c>
      <c r="L606" t="s">
        <v>32</v>
      </c>
      <c r="M606" s="3">
        <v>27</v>
      </c>
      <c r="N606" s="3" t="str" cm="1">
        <f t="array" ref="N606">_xlfn.IFS(M606&gt;59, "Pension Age", M606&gt;44, "Elderly (45+)", M606&gt;29, "Middle Age (30+)", M606&gt;22, "Adult (23+)", M606&gt;15, "Teen/Young Adult (16+)")</f>
        <v>Adult (23+)</v>
      </c>
      <c r="O606" s="3" t="s">
        <v>18</v>
      </c>
    </row>
    <row r="607" spans="1:15" x14ac:dyDescent="0.3">
      <c r="A607" s="4">
        <v>17458</v>
      </c>
      <c r="B607" s="3" t="s">
        <v>40</v>
      </c>
      <c r="C607" s="3" t="s">
        <v>42</v>
      </c>
      <c r="D607" s="11">
        <v>70000</v>
      </c>
      <c r="E607" s="9" t="str" cm="1">
        <f t="array" ref="E607">_xlfn.IFS(D607&gt;149000, "Very High", D607&gt;99000, "High", D607&gt;59999, "Average", D607&gt;19999, "Low", D607&gt;0, "Poverty")</f>
        <v>Average</v>
      </c>
      <c r="F607" s="3">
        <v>3</v>
      </c>
      <c r="G607" t="s">
        <v>27</v>
      </c>
      <c r="H607" t="s">
        <v>21</v>
      </c>
      <c r="I607" s="3" t="s">
        <v>15</v>
      </c>
      <c r="J607" s="3">
        <v>0</v>
      </c>
      <c r="K607" t="s">
        <v>23</v>
      </c>
      <c r="L607" t="s">
        <v>32</v>
      </c>
      <c r="M607" s="3">
        <v>52</v>
      </c>
      <c r="N607" s="3" t="str" cm="1">
        <f t="array" ref="N607">_xlfn.IFS(M607&gt;59, "Pension Age", M607&gt;44, "Elderly (45+)", M607&gt;29, "Middle Age (30+)", M607&gt;22, "Adult (23+)", M607&gt;15, "Teen/Young Adult (16+)")</f>
        <v>Elderly (45+)</v>
      </c>
      <c r="O607" s="3" t="s">
        <v>15</v>
      </c>
    </row>
    <row r="608" spans="1:15" x14ac:dyDescent="0.3">
      <c r="A608" s="4">
        <v>11644</v>
      </c>
      <c r="B608" s="3" t="s">
        <v>40</v>
      </c>
      <c r="C608" s="3" t="s">
        <v>42</v>
      </c>
      <c r="D608" s="11">
        <v>40000</v>
      </c>
      <c r="E608" s="9" t="str" cm="1">
        <f t="array" ref="E608">_xlfn.IFS(D608&gt;149000, "Very High", D608&gt;99000, "High", D608&gt;59999, "Average", D608&gt;19999, "Low", D608&gt;0, "Poverty")</f>
        <v>Low</v>
      </c>
      <c r="F608" s="3">
        <v>2</v>
      </c>
      <c r="G608" t="s">
        <v>13</v>
      </c>
      <c r="H608" t="s">
        <v>14</v>
      </c>
      <c r="I608" s="3" t="s">
        <v>15</v>
      </c>
      <c r="J608" s="3">
        <v>0</v>
      </c>
      <c r="K608" t="s">
        <v>22</v>
      </c>
      <c r="L608" t="s">
        <v>32</v>
      </c>
      <c r="M608" s="3">
        <v>36</v>
      </c>
      <c r="N608" s="3" t="str" cm="1">
        <f t="array" ref="N608">_xlfn.IFS(M608&gt;59, "Pension Age", M608&gt;44, "Elderly (45+)", M608&gt;29, "Middle Age (30+)", M608&gt;22, "Adult (23+)", M608&gt;15, "Teen/Young Adult (16+)")</f>
        <v>Middle Age (30+)</v>
      </c>
      <c r="O608" s="3" t="s">
        <v>18</v>
      </c>
    </row>
    <row r="609" spans="1:15" x14ac:dyDescent="0.3">
      <c r="A609" s="4">
        <v>16145</v>
      </c>
      <c r="B609" s="3" t="s">
        <v>40</v>
      </c>
      <c r="C609" s="3" t="s">
        <v>41</v>
      </c>
      <c r="D609" s="11">
        <v>70000</v>
      </c>
      <c r="E609" s="9" t="str" cm="1">
        <f t="array" ref="E609">_xlfn.IFS(D609&gt;149000, "Very High", D609&gt;99000, "High", D609&gt;59999, "Average", D609&gt;19999, "Low", D609&gt;0, "Poverty")</f>
        <v>Average</v>
      </c>
      <c r="F609" s="3">
        <v>5</v>
      </c>
      <c r="G609" t="s">
        <v>31</v>
      </c>
      <c r="H609" t="s">
        <v>21</v>
      </c>
      <c r="I609" s="3" t="s">
        <v>15</v>
      </c>
      <c r="J609" s="3">
        <v>3</v>
      </c>
      <c r="K609" t="s">
        <v>30</v>
      </c>
      <c r="L609" t="s">
        <v>32</v>
      </c>
      <c r="M609" s="3">
        <v>46</v>
      </c>
      <c r="N609" s="3" t="str" cm="1">
        <f t="array" ref="N609">_xlfn.IFS(M609&gt;59, "Pension Age", M609&gt;44, "Elderly (45+)", M609&gt;29, "Middle Age (30+)", M609&gt;22, "Adult (23+)", M609&gt;15, "Teen/Young Adult (16+)")</f>
        <v>Elderly (45+)</v>
      </c>
      <c r="O609" s="3" t="s">
        <v>15</v>
      </c>
    </row>
    <row r="610" spans="1:15" x14ac:dyDescent="0.3">
      <c r="A610" s="4">
        <v>16890</v>
      </c>
      <c r="B610" s="3" t="s">
        <v>39</v>
      </c>
      <c r="C610" s="3" t="s">
        <v>42</v>
      </c>
      <c r="D610" s="11">
        <v>60000</v>
      </c>
      <c r="E610" s="9" t="str" cm="1">
        <f t="array" ref="E610">_xlfn.IFS(D610&gt;149000, "Very High", D610&gt;99000, "High", D610&gt;59999, "Average", D610&gt;19999, "Low", D610&gt;0, "Poverty")</f>
        <v>Average</v>
      </c>
      <c r="F610" s="3">
        <v>3</v>
      </c>
      <c r="G610" t="s">
        <v>29</v>
      </c>
      <c r="H610" t="s">
        <v>14</v>
      </c>
      <c r="I610" s="3" t="s">
        <v>15</v>
      </c>
      <c r="J610" s="3">
        <v>2</v>
      </c>
      <c r="K610" t="s">
        <v>23</v>
      </c>
      <c r="L610" t="s">
        <v>32</v>
      </c>
      <c r="M610" s="3">
        <v>52</v>
      </c>
      <c r="N610" s="3" t="str" cm="1">
        <f t="array" ref="N610">_xlfn.IFS(M610&gt;59, "Pension Age", M610&gt;44, "Elderly (45+)", M610&gt;29, "Middle Age (30+)", M610&gt;22, "Adult (23+)", M610&gt;15, "Teen/Young Adult (16+)")</f>
        <v>Elderly (45+)</v>
      </c>
      <c r="O610" s="3" t="s">
        <v>15</v>
      </c>
    </row>
    <row r="611" spans="1:15" x14ac:dyDescent="0.3">
      <c r="A611" s="4">
        <v>25983</v>
      </c>
      <c r="B611" s="3" t="s">
        <v>39</v>
      </c>
      <c r="C611" s="3" t="s">
        <v>42</v>
      </c>
      <c r="D611" s="11">
        <v>70000</v>
      </c>
      <c r="E611" s="9" t="str" cm="1">
        <f t="array" ref="E611">_xlfn.IFS(D611&gt;149000, "Very High", D611&gt;99000, "High", D611&gt;59999, "Average", D611&gt;19999, "Low", D611&gt;0, "Poverty")</f>
        <v>Average</v>
      </c>
      <c r="F611" s="3">
        <v>0</v>
      </c>
      <c r="G611" t="s">
        <v>13</v>
      </c>
      <c r="H611" t="s">
        <v>21</v>
      </c>
      <c r="I611" s="3" t="s">
        <v>18</v>
      </c>
      <c r="J611" s="3">
        <v>1</v>
      </c>
      <c r="K611" t="s">
        <v>16</v>
      </c>
      <c r="L611" t="s">
        <v>32</v>
      </c>
      <c r="M611" s="3">
        <v>43</v>
      </c>
      <c r="N611" s="3" t="str" cm="1">
        <f t="array" ref="N611">_xlfn.IFS(M611&gt;59, "Pension Age", M611&gt;44, "Elderly (45+)", M611&gt;29, "Middle Age (30+)", M611&gt;22, "Adult (23+)", M611&gt;15, "Teen/Young Adult (16+)")</f>
        <v>Middle Age (30+)</v>
      </c>
      <c r="O611" s="3" t="s">
        <v>18</v>
      </c>
    </row>
    <row r="612" spans="1:15" x14ac:dyDescent="0.3">
      <c r="A612" s="4">
        <v>14633</v>
      </c>
      <c r="B612" s="3" t="s">
        <v>39</v>
      </c>
      <c r="C612" s="3" t="s">
        <v>42</v>
      </c>
      <c r="D612" s="11">
        <v>60000</v>
      </c>
      <c r="E612" s="9" t="str" cm="1">
        <f t="array" ref="E612">_xlfn.IFS(D612&gt;149000, "Very High", D612&gt;99000, "High", D612&gt;59999, "Average", D612&gt;19999, "Low", D612&gt;0, "Poverty")</f>
        <v>Average</v>
      </c>
      <c r="F612" s="3">
        <v>1</v>
      </c>
      <c r="G612" t="s">
        <v>19</v>
      </c>
      <c r="H612" t="s">
        <v>14</v>
      </c>
      <c r="I612" s="3" t="s">
        <v>15</v>
      </c>
      <c r="J612" s="3">
        <v>1</v>
      </c>
      <c r="K612" t="s">
        <v>22</v>
      </c>
      <c r="L612" t="s">
        <v>32</v>
      </c>
      <c r="M612" s="3">
        <v>44</v>
      </c>
      <c r="N612" s="3" t="str" cm="1">
        <f t="array" ref="N612">_xlfn.IFS(M612&gt;59, "Pension Age", M612&gt;44, "Elderly (45+)", M612&gt;29, "Middle Age (30+)", M612&gt;22, "Adult (23+)", M612&gt;15, "Teen/Young Adult (16+)")</f>
        <v>Middle Age (30+)</v>
      </c>
      <c r="O612" s="3" t="s">
        <v>18</v>
      </c>
    </row>
    <row r="613" spans="1:15" x14ac:dyDescent="0.3">
      <c r="A613" s="4">
        <v>22994</v>
      </c>
      <c r="B613" s="3" t="s">
        <v>39</v>
      </c>
      <c r="C613" s="3" t="s">
        <v>41</v>
      </c>
      <c r="D613" s="11">
        <v>80000</v>
      </c>
      <c r="E613" s="9" t="str" cm="1">
        <f t="array" ref="E613">_xlfn.IFS(D613&gt;149000, "Very High", D613&gt;99000, "High", D613&gt;59999, "Average", D613&gt;19999, "Low", D613&gt;0, "Poverty")</f>
        <v>Average</v>
      </c>
      <c r="F613" s="3">
        <v>0</v>
      </c>
      <c r="G613" t="s">
        <v>13</v>
      </c>
      <c r="H613" t="s">
        <v>28</v>
      </c>
      <c r="I613" s="3" t="s">
        <v>15</v>
      </c>
      <c r="J613" s="3">
        <v>1</v>
      </c>
      <c r="K613" t="s">
        <v>26</v>
      </c>
      <c r="L613" t="s">
        <v>32</v>
      </c>
      <c r="M613" s="3">
        <v>34</v>
      </c>
      <c r="N613" s="3" t="str" cm="1">
        <f t="array" ref="N613">_xlfn.IFS(M613&gt;59, "Pension Age", M613&gt;44, "Elderly (45+)", M613&gt;29, "Middle Age (30+)", M613&gt;22, "Adult (23+)", M613&gt;15, "Teen/Young Adult (16+)")</f>
        <v>Middle Age (30+)</v>
      </c>
      <c r="O613" s="3" t="s">
        <v>15</v>
      </c>
    </row>
    <row r="614" spans="1:15" x14ac:dyDescent="0.3">
      <c r="A614" s="4">
        <v>22983</v>
      </c>
      <c r="B614" s="3" t="s">
        <v>40</v>
      </c>
      <c r="C614" s="3" t="s">
        <v>41</v>
      </c>
      <c r="D614" s="11">
        <v>30000</v>
      </c>
      <c r="E614" s="9" t="str" cm="1">
        <f t="array" ref="E614">_xlfn.IFS(D614&gt;149000, "Very High", D614&gt;99000, "High", D614&gt;59999, "Average", D614&gt;19999, "Low", D614&gt;0, "Poverty")</f>
        <v>Low</v>
      </c>
      <c r="F614" s="3">
        <v>0</v>
      </c>
      <c r="G614" t="s">
        <v>29</v>
      </c>
      <c r="H614" t="s">
        <v>20</v>
      </c>
      <c r="I614" s="3" t="s">
        <v>15</v>
      </c>
      <c r="J614" s="3">
        <v>2</v>
      </c>
      <c r="K614" t="s">
        <v>23</v>
      </c>
      <c r="L614" t="s">
        <v>32</v>
      </c>
      <c r="M614" s="3">
        <v>27</v>
      </c>
      <c r="N614" s="3" t="str" cm="1">
        <f t="array" ref="N614">_xlfn.IFS(M614&gt;59, "Pension Age", M614&gt;44, "Elderly (45+)", M614&gt;29, "Middle Age (30+)", M614&gt;22, "Adult (23+)", M614&gt;15, "Teen/Young Adult (16+)")</f>
        <v>Adult (23+)</v>
      </c>
      <c r="O614" s="3" t="s">
        <v>18</v>
      </c>
    </row>
    <row r="615" spans="1:15" x14ac:dyDescent="0.3">
      <c r="A615" s="4">
        <v>25184</v>
      </c>
      <c r="B615" s="3" t="s">
        <v>40</v>
      </c>
      <c r="C615" s="3" t="s">
        <v>42</v>
      </c>
      <c r="D615" s="11">
        <v>110000</v>
      </c>
      <c r="E615" s="9" t="str" cm="1">
        <f t="array" ref="E615">_xlfn.IFS(D615&gt;149000, "Very High", D615&gt;99000, "High", D615&gt;59999, "Average", D615&gt;19999, "Low", D615&gt;0, "Poverty")</f>
        <v>High</v>
      </c>
      <c r="F615" s="3">
        <v>1</v>
      </c>
      <c r="G615" t="s">
        <v>19</v>
      </c>
      <c r="H615" t="s">
        <v>21</v>
      </c>
      <c r="I615" s="3" t="s">
        <v>15</v>
      </c>
      <c r="J615" s="3">
        <v>4</v>
      </c>
      <c r="K615" t="s">
        <v>23</v>
      </c>
      <c r="L615" t="s">
        <v>32</v>
      </c>
      <c r="M615" s="3">
        <v>45</v>
      </c>
      <c r="N615" s="3" t="str" cm="1">
        <f t="array" ref="N615">_xlfn.IFS(M615&gt;59, "Pension Age", M615&gt;44, "Elderly (45+)", M615&gt;29, "Middle Age (30+)", M615&gt;22, "Adult (23+)", M615&gt;15, "Teen/Young Adult (16+)")</f>
        <v>Elderly (45+)</v>
      </c>
      <c r="O615" s="3" t="s">
        <v>15</v>
      </c>
    </row>
    <row r="616" spans="1:15" x14ac:dyDescent="0.3">
      <c r="A616" s="4">
        <v>14469</v>
      </c>
      <c r="B616" s="3" t="s">
        <v>39</v>
      </c>
      <c r="C616" s="3" t="s">
        <v>41</v>
      </c>
      <c r="D616" s="11">
        <v>100000</v>
      </c>
      <c r="E616" s="9" t="str" cm="1">
        <f t="array" ref="E616">_xlfn.IFS(D616&gt;149000, "Very High", D616&gt;99000, "High", D616&gt;59999, "Average", D616&gt;19999, "Low", D616&gt;0, "Poverty")</f>
        <v>High</v>
      </c>
      <c r="F616" s="3">
        <v>3</v>
      </c>
      <c r="G616" t="s">
        <v>19</v>
      </c>
      <c r="H616" t="s">
        <v>21</v>
      </c>
      <c r="I616" s="3" t="s">
        <v>15</v>
      </c>
      <c r="J616" s="3">
        <v>4</v>
      </c>
      <c r="K616" t="s">
        <v>26</v>
      </c>
      <c r="L616" t="s">
        <v>32</v>
      </c>
      <c r="M616" s="3">
        <v>45</v>
      </c>
      <c r="N616" s="3" t="str" cm="1">
        <f t="array" ref="N616">_xlfn.IFS(M616&gt;59, "Pension Age", M616&gt;44, "Elderly (45+)", M616&gt;29, "Middle Age (30+)", M616&gt;22, "Adult (23+)", M616&gt;15, "Teen/Young Adult (16+)")</f>
        <v>Elderly (45+)</v>
      </c>
      <c r="O616" s="3" t="s">
        <v>18</v>
      </c>
    </row>
    <row r="617" spans="1:15" x14ac:dyDescent="0.3">
      <c r="A617" s="4">
        <v>11538</v>
      </c>
      <c r="B617" s="3" t="s">
        <v>40</v>
      </c>
      <c r="C617" s="3" t="s">
        <v>41</v>
      </c>
      <c r="D617" s="11">
        <v>60000</v>
      </c>
      <c r="E617" s="9" t="str" cm="1">
        <f t="array" ref="E617">_xlfn.IFS(D617&gt;149000, "Very High", D617&gt;99000, "High", D617&gt;59999, "Average", D617&gt;19999, "Low", D617&gt;0, "Poverty")</f>
        <v>Average</v>
      </c>
      <c r="F617" s="3">
        <v>4</v>
      </c>
      <c r="G617" t="s">
        <v>31</v>
      </c>
      <c r="H617" t="s">
        <v>14</v>
      </c>
      <c r="I617" s="3" t="s">
        <v>18</v>
      </c>
      <c r="J617" s="3">
        <v>0</v>
      </c>
      <c r="K617" t="s">
        <v>16</v>
      </c>
      <c r="L617" t="s">
        <v>32</v>
      </c>
      <c r="M617" s="3">
        <v>47</v>
      </c>
      <c r="N617" s="3" t="str" cm="1">
        <f t="array" ref="N617">_xlfn.IFS(M617&gt;59, "Pension Age", M617&gt;44, "Elderly (45+)", M617&gt;29, "Middle Age (30+)", M617&gt;22, "Adult (23+)", M617&gt;15, "Teen/Young Adult (16+)")</f>
        <v>Elderly (45+)</v>
      </c>
      <c r="O617" s="3" t="s">
        <v>15</v>
      </c>
    </row>
    <row r="618" spans="1:15" x14ac:dyDescent="0.3">
      <c r="A618" s="4">
        <v>16245</v>
      </c>
      <c r="B618" s="3" t="s">
        <v>40</v>
      </c>
      <c r="C618" s="3" t="s">
        <v>41</v>
      </c>
      <c r="D618" s="11">
        <v>80000</v>
      </c>
      <c r="E618" s="9" t="str" cm="1">
        <f t="array" ref="E618">_xlfn.IFS(D618&gt;149000, "Very High", D618&gt;99000, "High", D618&gt;59999, "Average", D618&gt;19999, "Low", D618&gt;0, "Poverty")</f>
        <v>Average</v>
      </c>
      <c r="F618" s="3">
        <v>4</v>
      </c>
      <c r="G618" t="s">
        <v>31</v>
      </c>
      <c r="H618" t="s">
        <v>14</v>
      </c>
      <c r="I618" s="3" t="s">
        <v>15</v>
      </c>
      <c r="J618" s="3">
        <v>0</v>
      </c>
      <c r="K618" t="s">
        <v>26</v>
      </c>
      <c r="L618" t="s">
        <v>32</v>
      </c>
      <c r="M618" s="3">
        <v>47</v>
      </c>
      <c r="N618" s="3" t="str" cm="1">
        <f t="array" ref="N618">_xlfn.IFS(M618&gt;59, "Pension Age", M618&gt;44, "Elderly (45+)", M618&gt;29, "Middle Age (30+)", M618&gt;22, "Adult (23+)", M618&gt;15, "Teen/Young Adult (16+)")</f>
        <v>Elderly (45+)</v>
      </c>
      <c r="O618" s="3" t="s">
        <v>18</v>
      </c>
    </row>
    <row r="619" spans="1:15" x14ac:dyDescent="0.3">
      <c r="A619" s="4">
        <v>17858</v>
      </c>
      <c r="B619" s="3" t="s">
        <v>39</v>
      </c>
      <c r="C619" s="3" t="s">
        <v>42</v>
      </c>
      <c r="D619" s="11">
        <v>40000</v>
      </c>
      <c r="E619" s="9" t="str" cm="1">
        <f t="array" ref="E619">_xlfn.IFS(D619&gt;149000, "Very High", D619&gt;99000, "High", D619&gt;59999, "Average", D619&gt;19999, "Low", D619&gt;0, "Poverty")</f>
        <v>Low</v>
      </c>
      <c r="F619" s="3">
        <v>4</v>
      </c>
      <c r="G619" t="s">
        <v>27</v>
      </c>
      <c r="H619" t="s">
        <v>14</v>
      </c>
      <c r="I619" s="3" t="s">
        <v>15</v>
      </c>
      <c r="J619" s="3">
        <v>2</v>
      </c>
      <c r="K619" t="s">
        <v>22</v>
      </c>
      <c r="L619" t="s">
        <v>32</v>
      </c>
      <c r="M619" s="3">
        <v>44</v>
      </c>
      <c r="N619" s="3" t="str" cm="1">
        <f t="array" ref="N619">_xlfn.IFS(M619&gt;59, "Pension Age", M619&gt;44, "Elderly (45+)", M619&gt;29, "Middle Age (30+)", M619&gt;22, "Adult (23+)", M619&gt;15, "Teen/Young Adult (16+)")</f>
        <v>Middle Age (30+)</v>
      </c>
      <c r="O619" s="3" t="s">
        <v>15</v>
      </c>
    </row>
    <row r="620" spans="1:15" x14ac:dyDescent="0.3">
      <c r="A620" s="4">
        <v>25347</v>
      </c>
      <c r="B620" s="3" t="s">
        <v>40</v>
      </c>
      <c r="C620" s="3" t="s">
        <v>41</v>
      </c>
      <c r="D620" s="11">
        <v>20000</v>
      </c>
      <c r="E620" s="9" t="str" cm="1">
        <f t="array" ref="E620">_xlfn.IFS(D620&gt;149000, "Very High", D620&gt;99000, "High", D620&gt;59999, "Average", D620&gt;19999, "Low", D620&gt;0, "Poverty")</f>
        <v>Low</v>
      </c>
      <c r="F620" s="3">
        <v>3</v>
      </c>
      <c r="G620" t="s">
        <v>29</v>
      </c>
      <c r="H620" t="s">
        <v>20</v>
      </c>
      <c r="I620" s="3" t="s">
        <v>18</v>
      </c>
      <c r="J620" s="3">
        <v>2</v>
      </c>
      <c r="K620" t="s">
        <v>16</v>
      </c>
      <c r="L620" t="s">
        <v>32</v>
      </c>
      <c r="M620" s="3">
        <v>49</v>
      </c>
      <c r="N620" s="3" t="str" cm="1">
        <f t="array" ref="N620">_xlfn.IFS(M620&gt;59, "Pension Age", M620&gt;44, "Elderly (45+)", M620&gt;29, "Middle Age (30+)", M620&gt;22, "Adult (23+)", M620&gt;15, "Teen/Young Adult (16+)")</f>
        <v>Elderly (45+)</v>
      </c>
      <c r="O620" s="3" t="s">
        <v>18</v>
      </c>
    </row>
    <row r="621" spans="1:15" x14ac:dyDescent="0.3">
      <c r="A621" s="4">
        <v>15814</v>
      </c>
      <c r="B621" s="3" t="s">
        <v>40</v>
      </c>
      <c r="C621" s="3" t="s">
        <v>41</v>
      </c>
      <c r="D621" s="11">
        <v>40000</v>
      </c>
      <c r="E621" s="9" t="str" cm="1">
        <f t="array" ref="E621">_xlfn.IFS(D621&gt;149000, "Very High", D621&gt;99000, "High", D621&gt;59999, "Average", D621&gt;19999, "Low", D621&gt;0, "Poverty")</f>
        <v>Low</v>
      </c>
      <c r="F621" s="3">
        <v>0</v>
      </c>
      <c r="G621" t="s">
        <v>27</v>
      </c>
      <c r="H621" t="s">
        <v>14</v>
      </c>
      <c r="I621" s="3" t="s">
        <v>15</v>
      </c>
      <c r="J621" s="3">
        <v>1</v>
      </c>
      <c r="K621" t="s">
        <v>23</v>
      </c>
      <c r="L621" t="s">
        <v>32</v>
      </c>
      <c r="M621" s="3">
        <v>30</v>
      </c>
      <c r="N621" s="3" t="str" cm="1">
        <f t="array" ref="N621">_xlfn.IFS(M621&gt;59, "Pension Age", M621&gt;44, "Elderly (45+)", M621&gt;29, "Middle Age (30+)", M621&gt;22, "Adult (23+)", M621&gt;15, "Teen/Young Adult (16+)")</f>
        <v>Middle Age (30+)</v>
      </c>
      <c r="O621" s="3" t="s">
        <v>18</v>
      </c>
    </row>
    <row r="622" spans="1:15" x14ac:dyDescent="0.3">
      <c r="A622" s="4">
        <v>11259</v>
      </c>
      <c r="B622" s="3" t="s">
        <v>39</v>
      </c>
      <c r="C622" s="3" t="s">
        <v>41</v>
      </c>
      <c r="D622" s="11">
        <v>100000</v>
      </c>
      <c r="E622" s="9" t="str" cm="1">
        <f t="array" ref="E622">_xlfn.IFS(D622&gt;149000, "Very High", D622&gt;99000, "High", D622&gt;59999, "Average", D622&gt;19999, "Low", D622&gt;0, "Poverty")</f>
        <v>High</v>
      </c>
      <c r="F622" s="3">
        <v>4</v>
      </c>
      <c r="G622" t="s">
        <v>19</v>
      </c>
      <c r="H622" t="s">
        <v>21</v>
      </c>
      <c r="I622" s="3" t="s">
        <v>15</v>
      </c>
      <c r="J622" s="3">
        <v>4</v>
      </c>
      <c r="K622" t="s">
        <v>22</v>
      </c>
      <c r="L622" t="s">
        <v>32</v>
      </c>
      <c r="M622" s="3">
        <v>41</v>
      </c>
      <c r="N622" s="3" t="str" cm="1">
        <f t="array" ref="N622">_xlfn.IFS(M622&gt;59, "Pension Age", M622&gt;44, "Elderly (45+)", M622&gt;29, "Middle Age (30+)", M622&gt;22, "Adult (23+)", M622&gt;15, "Teen/Young Adult (16+)")</f>
        <v>Middle Age (30+)</v>
      </c>
      <c r="O622" s="3" t="s">
        <v>15</v>
      </c>
    </row>
    <row r="623" spans="1:15" x14ac:dyDescent="0.3">
      <c r="A623" s="4">
        <v>11200</v>
      </c>
      <c r="B623" s="3" t="s">
        <v>39</v>
      </c>
      <c r="C623" s="3" t="s">
        <v>42</v>
      </c>
      <c r="D623" s="11">
        <v>70000</v>
      </c>
      <c r="E623" s="9" t="str" cm="1">
        <f t="array" ref="E623">_xlfn.IFS(D623&gt;149000, "Very High", D623&gt;99000, "High", D623&gt;59999, "Average", D623&gt;19999, "Low", D623&gt;0, "Poverty")</f>
        <v>Average</v>
      </c>
      <c r="F623" s="3">
        <v>4</v>
      </c>
      <c r="G623" t="s">
        <v>13</v>
      </c>
      <c r="H623" t="s">
        <v>28</v>
      </c>
      <c r="I623" s="3" t="s">
        <v>15</v>
      </c>
      <c r="J623" s="3">
        <v>1</v>
      </c>
      <c r="K623" t="s">
        <v>26</v>
      </c>
      <c r="L623" t="s">
        <v>32</v>
      </c>
      <c r="M623" s="3">
        <v>58</v>
      </c>
      <c r="N623" s="3" t="str" cm="1">
        <f t="array" ref="N623">_xlfn.IFS(M623&gt;59, "Pension Age", M623&gt;44, "Elderly (45+)", M623&gt;29, "Middle Age (30+)", M623&gt;22, "Adult (23+)", M623&gt;15, "Teen/Young Adult (16+)")</f>
        <v>Elderly (45+)</v>
      </c>
      <c r="O623" s="3" t="s">
        <v>18</v>
      </c>
    </row>
    <row r="624" spans="1:15" x14ac:dyDescent="0.3">
      <c r="A624" s="4">
        <v>25101</v>
      </c>
      <c r="B624" s="3" t="s">
        <v>39</v>
      </c>
      <c r="C624" s="3" t="s">
        <v>42</v>
      </c>
      <c r="D624" s="11">
        <v>60000</v>
      </c>
      <c r="E624" s="9" t="str" cm="1">
        <f t="array" ref="E624">_xlfn.IFS(D624&gt;149000, "Very High", D624&gt;99000, "High", D624&gt;59999, "Average", D624&gt;19999, "Low", D624&gt;0, "Poverty")</f>
        <v>Average</v>
      </c>
      <c r="F624" s="3">
        <v>5</v>
      </c>
      <c r="G624" t="s">
        <v>13</v>
      </c>
      <c r="H624" t="s">
        <v>21</v>
      </c>
      <c r="I624" s="3" t="s">
        <v>15</v>
      </c>
      <c r="J624" s="3">
        <v>1</v>
      </c>
      <c r="K624" t="s">
        <v>22</v>
      </c>
      <c r="L624" t="s">
        <v>32</v>
      </c>
      <c r="M624" s="3">
        <v>47</v>
      </c>
      <c r="N624" s="3" t="str" cm="1">
        <f t="array" ref="N624">_xlfn.IFS(M624&gt;59, "Pension Age", M624&gt;44, "Elderly (45+)", M624&gt;29, "Middle Age (30+)", M624&gt;22, "Adult (23+)", M624&gt;15, "Teen/Young Adult (16+)")</f>
        <v>Elderly (45+)</v>
      </c>
      <c r="O624" s="3" t="s">
        <v>18</v>
      </c>
    </row>
    <row r="625" spans="1:15" x14ac:dyDescent="0.3">
      <c r="A625" s="4">
        <v>21801</v>
      </c>
      <c r="B625" s="3" t="s">
        <v>39</v>
      </c>
      <c r="C625" s="3" t="s">
        <v>41</v>
      </c>
      <c r="D625" s="11">
        <v>70000</v>
      </c>
      <c r="E625" s="9" t="str" cm="1">
        <f t="array" ref="E625">_xlfn.IFS(D625&gt;149000, "Very High", D625&gt;99000, "High", D625&gt;59999, "Average", D625&gt;19999, "Low", D625&gt;0, "Poverty")</f>
        <v>Average</v>
      </c>
      <c r="F625" s="3">
        <v>4</v>
      </c>
      <c r="G625" t="s">
        <v>19</v>
      </c>
      <c r="H625" t="s">
        <v>21</v>
      </c>
      <c r="I625" s="3" t="s">
        <v>15</v>
      </c>
      <c r="J625" s="3">
        <v>1</v>
      </c>
      <c r="K625" t="s">
        <v>26</v>
      </c>
      <c r="L625" t="s">
        <v>32</v>
      </c>
      <c r="M625" s="3">
        <v>55</v>
      </c>
      <c r="N625" s="3" t="str" cm="1">
        <f t="array" ref="N625">_xlfn.IFS(M625&gt;59, "Pension Age", M625&gt;44, "Elderly (45+)", M625&gt;29, "Middle Age (30+)", M625&gt;22, "Adult (23+)", M625&gt;15, "Teen/Young Adult (16+)")</f>
        <v>Elderly (45+)</v>
      </c>
      <c r="O625" s="3" t="s">
        <v>18</v>
      </c>
    </row>
    <row r="626" spans="1:15" x14ac:dyDescent="0.3">
      <c r="A626" s="4">
        <v>25943</v>
      </c>
      <c r="B626" s="3" t="s">
        <v>40</v>
      </c>
      <c r="C626" s="3" t="s">
        <v>41</v>
      </c>
      <c r="D626" s="11">
        <v>70000</v>
      </c>
      <c r="E626" s="9" t="str" cm="1">
        <f t="array" ref="E626">_xlfn.IFS(D626&gt;149000, "Very High", D626&gt;99000, "High", D626&gt;59999, "Average", D626&gt;19999, "Low", D626&gt;0, "Poverty")</f>
        <v>Average</v>
      </c>
      <c r="F626" s="3">
        <v>0</v>
      </c>
      <c r="G626" t="s">
        <v>19</v>
      </c>
      <c r="H626" t="s">
        <v>14</v>
      </c>
      <c r="I626" s="3" t="s">
        <v>18</v>
      </c>
      <c r="J626" s="3">
        <v>2</v>
      </c>
      <c r="K626" t="s">
        <v>16</v>
      </c>
      <c r="L626" t="s">
        <v>32</v>
      </c>
      <c r="M626" s="3">
        <v>27</v>
      </c>
      <c r="N626" s="3" t="str" cm="1">
        <f t="array" ref="N626">_xlfn.IFS(M626&gt;59, "Pension Age", M626&gt;44, "Elderly (45+)", M626&gt;29, "Middle Age (30+)", M626&gt;22, "Adult (23+)", M626&gt;15, "Teen/Young Adult (16+)")</f>
        <v>Adult (23+)</v>
      </c>
      <c r="O626" s="3" t="s">
        <v>15</v>
      </c>
    </row>
    <row r="627" spans="1:15" x14ac:dyDescent="0.3">
      <c r="A627" s="4">
        <v>22127</v>
      </c>
      <c r="B627" s="3" t="s">
        <v>39</v>
      </c>
      <c r="C627" s="3" t="s">
        <v>42</v>
      </c>
      <c r="D627" s="11">
        <v>60000</v>
      </c>
      <c r="E627" s="9" t="str" cm="1">
        <f t="array" ref="E627">_xlfn.IFS(D627&gt;149000, "Very High", D627&gt;99000, "High", D627&gt;59999, "Average", D627&gt;19999, "Low", D627&gt;0, "Poverty")</f>
        <v>Average</v>
      </c>
      <c r="F627" s="3">
        <v>3</v>
      </c>
      <c r="G627" t="s">
        <v>31</v>
      </c>
      <c r="H627" t="s">
        <v>28</v>
      </c>
      <c r="I627" s="3" t="s">
        <v>15</v>
      </c>
      <c r="J627" s="3">
        <v>2</v>
      </c>
      <c r="K627" t="s">
        <v>26</v>
      </c>
      <c r="L627" t="s">
        <v>32</v>
      </c>
      <c r="M627" s="3">
        <v>67</v>
      </c>
      <c r="N627" s="3" t="str" cm="1">
        <f t="array" ref="N627">_xlfn.IFS(M627&gt;59, "Pension Age", M627&gt;44, "Elderly (45+)", M627&gt;29, "Middle Age (30+)", M627&gt;22, "Adult (23+)", M627&gt;15, "Teen/Young Adult (16+)")</f>
        <v>Pension Age</v>
      </c>
      <c r="O627" s="3" t="s">
        <v>18</v>
      </c>
    </row>
    <row r="628" spans="1:15" x14ac:dyDescent="0.3">
      <c r="A628" s="4">
        <v>20414</v>
      </c>
      <c r="B628" s="3" t="s">
        <v>39</v>
      </c>
      <c r="C628" s="3" t="s">
        <v>41</v>
      </c>
      <c r="D628" s="11">
        <v>60000</v>
      </c>
      <c r="E628" s="9" t="str" cm="1">
        <f t="array" ref="E628">_xlfn.IFS(D628&gt;149000, "Very High", D628&gt;99000, "High", D628&gt;59999, "Average", D628&gt;19999, "Low", D628&gt;0, "Poverty")</f>
        <v>Average</v>
      </c>
      <c r="F628" s="3">
        <v>0</v>
      </c>
      <c r="G628" t="s">
        <v>19</v>
      </c>
      <c r="H628" t="s">
        <v>14</v>
      </c>
      <c r="I628" s="3" t="s">
        <v>15</v>
      </c>
      <c r="J628" s="3">
        <v>2</v>
      </c>
      <c r="K628" t="s">
        <v>23</v>
      </c>
      <c r="L628" t="s">
        <v>32</v>
      </c>
      <c r="M628" s="3">
        <v>29</v>
      </c>
      <c r="N628" s="3" t="str" cm="1">
        <f t="array" ref="N628">_xlfn.IFS(M628&gt;59, "Pension Age", M628&gt;44, "Elderly (45+)", M628&gt;29, "Middle Age (30+)", M628&gt;22, "Adult (23+)", M628&gt;15, "Teen/Young Adult (16+)")</f>
        <v>Adult (23+)</v>
      </c>
      <c r="O628" s="3" t="s">
        <v>18</v>
      </c>
    </row>
    <row r="629" spans="1:15" x14ac:dyDescent="0.3">
      <c r="A629" s="4">
        <v>23672</v>
      </c>
      <c r="B629" s="3" t="s">
        <v>39</v>
      </c>
      <c r="C629" s="3" t="s">
        <v>41</v>
      </c>
      <c r="D629" s="11">
        <v>60000</v>
      </c>
      <c r="E629" s="9" t="str" cm="1">
        <f t="array" ref="E629">_xlfn.IFS(D629&gt;149000, "Very High", D629&gt;99000, "High", D629&gt;59999, "Average", D629&gt;19999, "Low", D629&gt;0, "Poverty")</f>
        <v>Average</v>
      </c>
      <c r="F629" s="3">
        <v>3</v>
      </c>
      <c r="G629" t="s">
        <v>31</v>
      </c>
      <c r="H629" t="s">
        <v>28</v>
      </c>
      <c r="I629" s="3" t="s">
        <v>15</v>
      </c>
      <c r="J629" s="3">
        <v>2</v>
      </c>
      <c r="K629" t="s">
        <v>26</v>
      </c>
      <c r="L629" t="s">
        <v>32</v>
      </c>
      <c r="M629" s="3">
        <v>67</v>
      </c>
      <c r="N629" s="3" t="str" cm="1">
        <f t="array" ref="N629">_xlfn.IFS(M629&gt;59, "Pension Age", M629&gt;44, "Elderly (45+)", M629&gt;29, "Middle Age (30+)", M629&gt;22, "Adult (23+)", M629&gt;15, "Teen/Young Adult (16+)")</f>
        <v>Pension Age</v>
      </c>
      <c r="O629" s="3" t="s">
        <v>18</v>
      </c>
    </row>
    <row r="630" spans="1:15" x14ac:dyDescent="0.3">
      <c r="A630" s="4">
        <v>29255</v>
      </c>
      <c r="B630" s="3" t="s">
        <v>40</v>
      </c>
      <c r="C630" s="3" t="s">
        <v>42</v>
      </c>
      <c r="D630" s="11">
        <v>80000</v>
      </c>
      <c r="E630" s="9" t="str" cm="1">
        <f t="array" ref="E630">_xlfn.IFS(D630&gt;149000, "Very High", D630&gt;99000, "High", D630&gt;59999, "Average", D630&gt;19999, "Low", D630&gt;0, "Poverty")</f>
        <v>Average</v>
      </c>
      <c r="F630" s="3">
        <v>3</v>
      </c>
      <c r="G630" t="s">
        <v>19</v>
      </c>
      <c r="H630" t="s">
        <v>21</v>
      </c>
      <c r="I630" s="3" t="s">
        <v>18</v>
      </c>
      <c r="J630" s="3">
        <v>1</v>
      </c>
      <c r="K630" t="s">
        <v>26</v>
      </c>
      <c r="L630" t="s">
        <v>32</v>
      </c>
      <c r="M630" s="3">
        <v>51</v>
      </c>
      <c r="N630" s="3" t="str" cm="1">
        <f t="array" ref="N630">_xlfn.IFS(M630&gt;59, "Pension Age", M630&gt;44, "Elderly (45+)", M630&gt;29, "Middle Age (30+)", M630&gt;22, "Adult (23+)", M630&gt;15, "Teen/Young Adult (16+)")</f>
        <v>Elderly (45+)</v>
      </c>
      <c r="O630" s="3" t="s">
        <v>15</v>
      </c>
    </row>
    <row r="631" spans="1:15" x14ac:dyDescent="0.3">
      <c r="A631" s="4">
        <v>28815</v>
      </c>
      <c r="B631" s="3" t="s">
        <v>39</v>
      </c>
      <c r="C631" s="3" t="s">
        <v>41</v>
      </c>
      <c r="D631" s="11">
        <v>50000</v>
      </c>
      <c r="E631" s="9" t="str" cm="1">
        <f t="array" ref="E631">_xlfn.IFS(D631&gt;149000, "Very High", D631&gt;99000, "High", D631&gt;59999, "Average", D631&gt;19999, "Low", D631&gt;0, "Poverty")</f>
        <v>Low</v>
      </c>
      <c r="F631" s="3">
        <v>1</v>
      </c>
      <c r="G631" t="s">
        <v>31</v>
      </c>
      <c r="H631" t="s">
        <v>14</v>
      </c>
      <c r="I631" s="3" t="s">
        <v>15</v>
      </c>
      <c r="J631" s="3">
        <v>0</v>
      </c>
      <c r="K631" t="s">
        <v>16</v>
      </c>
      <c r="L631" t="s">
        <v>32</v>
      </c>
      <c r="M631" s="3">
        <v>35</v>
      </c>
      <c r="N631" s="3" t="str" cm="1">
        <f t="array" ref="N631">_xlfn.IFS(M631&gt;59, "Pension Age", M631&gt;44, "Elderly (45+)", M631&gt;29, "Middle Age (30+)", M631&gt;22, "Adult (23+)", M631&gt;15, "Teen/Young Adult (16+)")</f>
        <v>Middle Age (30+)</v>
      </c>
      <c r="O631" s="3" t="s">
        <v>18</v>
      </c>
    </row>
    <row r="632" spans="1:15" x14ac:dyDescent="0.3">
      <c r="A632" s="4">
        <v>27753</v>
      </c>
      <c r="B632" s="3" t="s">
        <v>39</v>
      </c>
      <c r="C632" s="3" t="s">
        <v>42</v>
      </c>
      <c r="D632" s="11">
        <v>40000</v>
      </c>
      <c r="E632" s="9" t="str" cm="1">
        <f t="array" ref="E632">_xlfn.IFS(D632&gt;149000, "Very High", D632&gt;99000, "High", D632&gt;59999, "Average", D632&gt;19999, "Low", D632&gt;0, "Poverty")</f>
        <v>Low</v>
      </c>
      <c r="F632" s="3">
        <v>0</v>
      </c>
      <c r="G632" t="s">
        <v>27</v>
      </c>
      <c r="H632" t="s">
        <v>14</v>
      </c>
      <c r="I632" s="3" t="s">
        <v>18</v>
      </c>
      <c r="J632" s="3">
        <v>2</v>
      </c>
      <c r="K632" t="s">
        <v>26</v>
      </c>
      <c r="L632" t="s">
        <v>32</v>
      </c>
      <c r="M632" s="3">
        <v>30</v>
      </c>
      <c r="N632" s="3" t="str" cm="1">
        <f t="array" ref="N632">_xlfn.IFS(M632&gt;59, "Pension Age", M632&gt;44, "Elderly (45+)", M632&gt;29, "Middle Age (30+)", M632&gt;22, "Adult (23+)", M632&gt;15, "Teen/Young Adult (16+)")</f>
        <v>Middle Age (30+)</v>
      </c>
      <c r="O632" s="3" t="s">
        <v>18</v>
      </c>
    </row>
    <row r="633" spans="1:15" x14ac:dyDescent="0.3">
      <c r="A633" s="4">
        <v>27643</v>
      </c>
      <c r="B633" s="3" t="s">
        <v>40</v>
      </c>
      <c r="C633" s="3" t="s">
        <v>42</v>
      </c>
      <c r="D633" s="11">
        <v>70000</v>
      </c>
      <c r="E633" s="9" t="str" cm="1">
        <f t="array" ref="E633">_xlfn.IFS(D633&gt;149000, "Very High", D633&gt;99000, "High", D633&gt;59999, "Average", D633&gt;19999, "Low", D633&gt;0, "Poverty")</f>
        <v>Average</v>
      </c>
      <c r="F633" s="3">
        <v>5</v>
      </c>
      <c r="G633" t="s">
        <v>19</v>
      </c>
      <c r="H633" t="s">
        <v>21</v>
      </c>
      <c r="I633" s="3" t="s">
        <v>15</v>
      </c>
      <c r="J633" s="3">
        <v>3</v>
      </c>
      <c r="K633" t="s">
        <v>22</v>
      </c>
      <c r="L633" t="s">
        <v>32</v>
      </c>
      <c r="M633" s="3">
        <v>44</v>
      </c>
      <c r="N633" s="3" t="str" cm="1">
        <f t="array" ref="N633">_xlfn.IFS(M633&gt;59, "Pension Age", M633&gt;44, "Elderly (45+)", M633&gt;29, "Middle Age (30+)", M633&gt;22, "Adult (23+)", M633&gt;15, "Teen/Young Adult (16+)")</f>
        <v>Middle Age (30+)</v>
      </c>
      <c r="O633" s="3" t="s">
        <v>18</v>
      </c>
    </row>
    <row r="634" spans="1:15" x14ac:dyDescent="0.3">
      <c r="A634" s="4">
        <v>13754</v>
      </c>
      <c r="B634" s="3" t="s">
        <v>40</v>
      </c>
      <c r="C634" s="3" t="s">
        <v>41</v>
      </c>
      <c r="D634" s="11">
        <v>80000</v>
      </c>
      <c r="E634" s="9" t="str" cm="1">
        <f t="array" ref="E634">_xlfn.IFS(D634&gt;149000, "Very High", D634&gt;99000, "High", D634&gt;59999, "Average", D634&gt;19999, "Low", D634&gt;0, "Poverty")</f>
        <v>Average</v>
      </c>
      <c r="F634" s="3">
        <v>4</v>
      </c>
      <c r="G634" t="s">
        <v>31</v>
      </c>
      <c r="H634" t="s">
        <v>14</v>
      </c>
      <c r="I634" s="3" t="s">
        <v>15</v>
      </c>
      <c r="J634" s="3">
        <v>0</v>
      </c>
      <c r="K634" t="s">
        <v>26</v>
      </c>
      <c r="L634" t="s">
        <v>32</v>
      </c>
      <c r="M634" s="3">
        <v>48</v>
      </c>
      <c r="N634" s="3" t="str" cm="1">
        <f t="array" ref="N634">_xlfn.IFS(M634&gt;59, "Pension Age", M634&gt;44, "Elderly (45+)", M634&gt;29, "Middle Age (30+)", M634&gt;22, "Adult (23+)", M634&gt;15, "Teen/Young Adult (16+)")</f>
        <v>Elderly (45+)</v>
      </c>
      <c r="O634" s="3" t="s">
        <v>18</v>
      </c>
    </row>
    <row r="635" spans="1:15" x14ac:dyDescent="0.3">
      <c r="A635" s="4">
        <v>22088</v>
      </c>
      <c r="B635" s="3" t="s">
        <v>39</v>
      </c>
      <c r="C635" s="3" t="s">
        <v>41</v>
      </c>
      <c r="D635" s="11">
        <v>130000</v>
      </c>
      <c r="E635" s="9" t="str" cm="1">
        <f t="array" ref="E635">_xlfn.IFS(D635&gt;149000, "Very High", D635&gt;99000, "High", D635&gt;59999, "Average", D635&gt;19999, "Low", D635&gt;0, "Poverty")</f>
        <v>High</v>
      </c>
      <c r="F635" s="3">
        <v>1</v>
      </c>
      <c r="G635" t="s">
        <v>13</v>
      </c>
      <c r="H635" t="s">
        <v>28</v>
      </c>
      <c r="I635" s="3" t="s">
        <v>15</v>
      </c>
      <c r="J635" s="3">
        <v>2</v>
      </c>
      <c r="K635" t="s">
        <v>16</v>
      </c>
      <c r="L635" t="s">
        <v>32</v>
      </c>
      <c r="M635" s="3">
        <v>45</v>
      </c>
      <c r="N635" s="3" t="str" cm="1">
        <f t="array" ref="N635">_xlfn.IFS(M635&gt;59, "Pension Age", M635&gt;44, "Elderly (45+)", M635&gt;29, "Middle Age (30+)", M635&gt;22, "Adult (23+)", M635&gt;15, "Teen/Young Adult (16+)")</f>
        <v>Elderly (45+)</v>
      </c>
      <c r="O635" s="3" t="s">
        <v>15</v>
      </c>
    </row>
    <row r="636" spans="1:15" x14ac:dyDescent="0.3">
      <c r="A636" s="4">
        <v>27388</v>
      </c>
      <c r="B636" s="3" t="s">
        <v>39</v>
      </c>
      <c r="C636" s="3" t="s">
        <v>42</v>
      </c>
      <c r="D636" s="11">
        <v>60000</v>
      </c>
      <c r="E636" s="9" t="str" cm="1">
        <f t="array" ref="E636">_xlfn.IFS(D636&gt;149000, "Very High", D636&gt;99000, "High", D636&gt;59999, "Average", D636&gt;19999, "Low", D636&gt;0, "Poverty")</f>
        <v>Average</v>
      </c>
      <c r="F636" s="3">
        <v>3</v>
      </c>
      <c r="G636" t="s">
        <v>13</v>
      </c>
      <c r="H636" t="s">
        <v>28</v>
      </c>
      <c r="I636" s="3" t="s">
        <v>18</v>
      </c>
      <c r="J636" s="3">
        <v>2</v>
      </c>
      <c r="K636" t="s">
        <v>26</v>
      </c>
      <c r="L636" t="s">
        <v>32</v>
      </c>
      <c r="M636" s="3">
        <v>66</v>
      </c>
      <c r="N636" s="3" t="str" cm="1">
        <f t="array" ref="N636">_xlfn.IFS(M636&gt;59, "Pension Age", M636&gt;44, "Elderly (45+)", M636&gt;29, "Middle Age (30+)", M636&gt;22, "Adult (23+)", M636&gt;15, "Teen/Young Adult (16+)")</f>
        <v>Pension Age</v>
      </c>
      <c r="O636" s="3" t="s">
        <v>18</v>
      </c>
    </row>
    <row r="637" spans="1:15" x14ac:dyDescent="0.3">
      <c r="A637" s="4">
        <v>24745</v>
      </c>
      <c r="B637" s="3" t="s">
        <v>40</v>
      </c>
      <c r="C637" s="3" t="s">
        <v>41</v>
      </c>
      <c r="D637" s="11">
        <v>30000</v>
      </c>
      <c r="E637" s="9" t="str" cm="1">
        <f t="array" ref="E637">_xlfn.IFS(D637&gt;149000, "Very High", D637&gt;99000, "High", D637&gt;59999, "Average", D637&gt;19999, "Low", D637&gt;0, "Poverty")</f>
        <v>Low</v>
      </c>
      <c r="F637" s="3">
        <v>2</v>
      </c>
      <c r="G637" t="s">
        <v>27</v>
      </c>
      <c r="H637" t="s">
        <v>14</v>
      </c>
      <c r="I637" s="3" t="s">
        <v>18</v>
      </c>
      <c r="J637" s="3">
        <v>2</v>
      </c>
      <c r="K637" t="s">
        <v>16</v>
      </c>
      <c r="L637" t="s">
        <v>32</v>
      </c>
      <c r="M637" s="3">
        <v>49</v>
      </c>
      <c r="N637" s="3" t="str" cm="1">
        <f t="array" ref="N637">_xlfn.IFS(M637&gt;59, "Pension Age", M637&gt;44, "Elderly (45+)", M637&gt;29, "Middle Age (30+)", M637&gt;22, "Adult (23+)", M637&gt;15, "Teen/Young Adult (16+)")</f>
        <v>Elderly (45+)</v>
      </c>
      <c r="O637" s="3" t="s">
        <v>18</v>
      </c>
    </row>
    <row r="638" spans="1:15" x14ac:dyDescent="0.3">
      <c r="A638" s="4">
        <v>29237</v>
      </c>
      <c r="B638" s="3" t="s">
        <v>40</v>
      </c>
      <c r="C638" s="3" t="s">
        <v>41</v>
      </c>
      <c r="D638" s="11">
        <v>120000</v>
      </c>
      <c r="E638" s="9" t="str" cm="1">
        <f t="array" ref="E638">_xlfn.IFS(D638&gt;149000, "Very High", D638&gt;99000, "High", D638&gt;59999, "Average", D638&gt;19999, "Low", D638&gt;0, "Poverty")</f>
        <v>High</v>
      </c>
      <c r="F638" s="3">
        <v>4</v>
      </c>
      <c r="G638" t="s">
        <v>19</v>
      </c>
      <c r="H638" t="s">
        <v>21</v>
      </c>
      <c r="I638" s="3" t="s">
        <v>15</v>
      </c>
      <c r="J638" s="3">
        <v>3</v>
      </c>
      <c r="K638" t="s">
        <v>23</v>
      </c>
      <c r="L638" t="s">
        <v>32</v>
      </c>
      <c r="M638" s="3">
        <v>43</v>
      </c>
      <c r="N638" s="3" t="str" cm="1">
        <f t="array" ref="N638">_xlfn.IFS(M638&gt;59, "Pension Age", M638&gt;44, "Elderly (45+)", M638&gt;29, "Middle Age (30+)", M638&gt;22, "Adult (23+)", M638&gt;15, "Teen/Young Adult (16+)")</f>
        <v>Middle Age (30+)</v>
      </c>
      <c r="O638" s="3" t="s">
        <v>15</v>
      </c>
    </row>
    <row r="639" spans="1:15" x14ac:dyDescent="0.3">
      <c r="A639" s="4">
        <v>15272</v>
      </c>
      <c r="B639" s="3" t="s">
        <v>40</v>
      </c>
      <c r="C639" s="3" t="s">
        <v>42</v>
      </c>
      <c r="D639" s="11">
        <v>40000</v>
      </c>
      <c r="E639" s="9" t="str" cm="1">
        <f t="array" ref="E639">_xlfn.IFS(D639&gt;149000, "Very High", D639&gt;99000, "High", D639&gt;59999, "Average", D639&gt;19999, "Low", D639&gt;0, "Poverty")</f>
        <v>Low</v>
      </c>
      <c r="F639" s="3">
        <v>0</v>
      </c>
      <c r="G639" t="s">
        <v>27</v>
      </c>
      <c r="H639" t="s">
        <v>14</v>
      </c>
      <c r="I639" s="3" t="s">
        <v>18</v>
      </c>
      <c r="J639" s="3">
        <v>2</v>
      </c>
      <c r="K639" t="s">
        <v>26</v>
      </c>
      <c r="L639" t="s">
        <v>32</v>
      </c>
      <c r="M639" s="3">
        <v>30</v>
      </c>
      <c r="N639" s="3" t="str" cm="1">
        <f t="array" ref="N639">_xlfn.IFS(M639&gt;59, "Pension Age", M639&gt;44, "Elderly (45+)", M639&gt;29, "Middle Age (30+)", M639&gt;22, "Adult (23+)", M639&gt;15, "Teen/Young Adult (16+)")</f>
        <v>Middle Age (30+)</v>
      </c>
      <c r="O639" s="3" t="s">
        <v>18</v>
      </c>
    </row>
    <row r="640" spans="1:15" x14ac:dyDescent="0.3">
      <c r="A640" s="4">
        <v>18949</v>
      </c>
      <c r="B640" s="3" t="s">
        <v>40</v>
      </c>
      <c r="C640" s="3" t="s">
        <v>42</v>
      </c>
      <c r="D640" s="11">
        <v>70000</v>
      </c>
      <c r="E640" s="9" t="str" cm="1">
        <f t="array" ref="E640">_xlfn.IFS(D640&gt;149000, "Very High", D640&gt;99000, "High", D640&gt;59999, "Average", D640&gt;19999, "Low", D640&gt;0, "Poverty")</f>
        <v>Average</v>
      </c>
      <c r="F640" s="3">
        <v>0</v>
      </c>
      <c r="G640" t="s">
        <v>31</v>
      </c>
      <c r="H640" t="s">
        <v>28</v>
      </c>
      <c r="I640" s="3" t="s">
        <v>15</v>
      </c>
      <c r="J640" s="3">
        <v>2</v>
      </c>
      <c r="K640" t="s">
        <v>23</v>
      </c>
      <c r="L640" t="s">
        <v>32</v>
      </c>
      <c r="M640" s="3">
        <v>74</v>
      </c>
      <c r="N640" s="3" t="str" cm="1">
        <f t="array" ref="N640">_xlfn.IFS(M640&gt;59, "Pension Age", M640&gt;44, "Elderly (45+)", M640&gt;29, "Middle Age (30+)", M640&gt;22, "Adult (23+)", M640&gt;15, "Teen/Young Adult (16+)")</f>
        <v>Pension Age</v>
      </c>
      <c r="O640" s="3" t="s">
        <v>15</v>
      </c>
    </row>
    <row r="641" spans="1:15" x14ac:dyDescent="0.3">
      <c r="A641" s="4">
        <v>14507</v>
      </c>
      <c r="B641" s="3" t="s">
        <v>39</v>
      </c>
      <c r="C641" s="3" t="s">
        <v>42</v>
      </c>
      <c r="D641" s="11">
        <v>100000</v>
      </c>
      <c r="E641" s="9" t="str" cm="1">
        <f t="array" ref="E641">_xlfn.IFS(D641&gt;149000, "Very High", D641&gt;99000, "High", D641&gt;59999, "Average", D641&gt;19999, "Low", D641&gt;0, "Poverty")</f>
        <v>High</v>
      </c>
      <c r="F641" s="3">
        <v>2</v>
      </c>
      <c r="G641" t="s">
        <v>31</v>
      </c>
      <c r="H641" t="s">
        <v>28</v>
      </c>
      <c r="I641" s="3" t="s">
        <v>15</v>
      </c>
      <c r="J641" s="3">
        <v>3</v>
      </c>
      <c r="K641" t="s">
        <v>26</v>
      </c>
      <c r="L641" t="s">
        <v>32</v>
      </c>
      <c r="M641" s="3">
        <v>65</v>
      </c>
      <c r="N641" s="3" t="str" cm="1">
        <f t="array" ref="N641">_xlfn.IFS(M641&gt;59, "Pension Age", M641&gt;44, "Elderly (45+)", M641&gt;29, "Middle Age (30+)", M641&gt;22, "Adult (23+)", M641&gt;15, "Teen/Young Adult (16+)")</f>
        <v>Pension Age</v>
      </c>
      <c r="O641" s="3" t="s">
        <v>18</v>
      </c>
    </row>
    <row r="642" spans="1:15" x14ac:dyDescent="0.3">
      <c r="A642" s="4">
        <v>25886</v>
      </c>
      <c r="B642" s="3" t="s">
        <v>39</v>
      </c>
      <c r="C642" s="3" t="s">
        <v>41</v>
      </c>
      <c r="D642" s="11">
        <v>60000</v>
      </c>
      <c r="E642" s="9" t="str" cm="1">
        <f t="array" ref="E642">_xlfn.IFS(D642&gt;149000, "Very High", D642&gt;99000, "High", D642&gt;59999, "Average", D642&gt;19999, "Low", D642&gt;0, "Poverty")</f>
        <v>Average</v>
      </c>
      <c r="F642" s="3">
        <v>2</v>
      </c>
      <c r="G642" t="s">
        <v>19</v>
      </c>
      <c r="H642" t="s">
        <v>21</v>
      </c>
      <c r="I642" s="3" t="s">
        <v>15</v>
      </c>
      <c r="J642" s="3">
        <v>2</v>
      </c>
      <c r="K642" t="s">
        <v>22</v>
      </c>
      <c r="L642" t="s">
        <v>32</v>
      </c>
      <c r="M642" s="3">
        <v>56</v>
      </c>
      <c r="N642" s="3" t="str" cm="1">
        <f t="array" ref="N642">_xlfn.IFS(M642&gt;59, "Pension Age", M642&gt;44, "Elderly (45+)", M642&gt;29, "Middle Age (30+)", M642&gt;22, "Adult (23+)", M642&gt;15, "Teen/Young Adult (16+)")</f>
        <v>Elderly (45+)</v>
      </c>
      <c r="O642" s="3" t="s">
        <v>15</v>
      </c>
    </row>
    <row r="643" spans="1:15" x14ac:dyDescent="0.3">
      <c r="A643" s="4">
        <v>21441</v>
      </c>
      <c r="B643" s="3" t="s">
        <v>39</v>
      </c>
      <c r="C643" s="3" t="s">
        <v>42</v>
      </c>
      <c r="D643" s="11">
        <v>50000</v>
      </c>
      <c r="E643" s="9" t="str" cm="1">
        <f t="array" ref="E643">_xlfn.IFS(D643&gt;149000, "Very High", D643&gt;99000, "High", D643&gt;59999, "Average", D643&gt;19999, "Low", D643&gt;0, "Poverty")</f>
        <v>Low</v>
      </c>
      <c r="F643" s="3">
        <v>4</v>
      </c>
      <c r="G643" t="s">
        <v>13</v>
      </c>
      <c r="H643" t="s">
        <v>28</v>
      </c>
      <c r="I643" s="3" t="s">
        <v>15</v>
      </c>
      <c r="J643" s="3">
        <v>2</v>
      </c>
      <c r="K643" t="s">
        <v>30</v>
      </c>
      <c r="L643" t="s">
        <v>32</v>
      </c>
      <c r="M643" s="3">
        <v>64</v>
      </c>
      <c r="N643" s="3" t="str" cm="1">
        <f t="array" ref="N643">_xlfn.IFS(M643&gt;59, "Pension Age", M643&gt;44, "Elderly (45+)", M643&gt;29, "Middle Age (30+)", M643&gt;22, "Adult (23+)", M643&gt;15, "Teen/Young Adult (16+)")</f>
        <v>Pension Age</v>
      </c>
      <c r="O643" s="3" t="s">
        <v>18</v>
      </c>
    </row>
    <row r="644" spans="1:15" x14ac:dyDescent="0.3">
      <c r="A644" s="4">
        <v>21741</v>
      </c>
      <c r="B644" s="3" t="s">
        <v>39</v>
      </c>
      <c r="C644" s="3" t="s">
        <v>41</v>
      </c>
      <c r="D644" s="11">
        <v>70000</v>
      </c>
      <c r="E644" s="9" t="str" cm="1">
        <f t="array" ref="E644">_xlfn.IFS(D644&gt;149000, "Very High", D644&gt;99000, "High", D644&gt;59999, "Average", D644&gt;19999, "Low", D644&gt;0, "Poverty")</f>
        <v>Average</v>
      </c>
      <c r="F644" s="3">
        <v>3</v>
      </c>
      <c r="G644" t="s">
        <v>19</v>
      </c>
      <c r="H644" t="s">
        <v>21</v>
      </c>
      <c r="I644" s="3" t="s">
        <v>15</v>
      </c>
      <c r="J644" s="3">
        <v>2</v>
      </c>
      <c r="K644" t="s">
        <v>23</v>
      </c>
      <c r="L644" t="s">
        <v>32</v>
      </c>
      <c r="M644" s="3">
        <v>50</v>
      </c>
      <c r="N644" s="3" t="str" cm="1">
        <f t="array" ref="N644">_xlfn.IFS(M644&gt;59, "Pension Age", M644&gt;44, "Elderly (45+)", M644&gt;29, "Middle Age (30+)", M644&gt;22, "Adult (23+)", M644&gt;15, "Teen/Young Adult (16+)")</f>
        <v>Elderly (45+)</v>
      </c>
      <c r="O644" s="3" t="s">
        <v>15</v>
      </c>
    </row>
    <row r="645" spans="1:15" x14ac:dyDescent="0.3">
      <c r="A645" s="4">
        <v>14572</v>
      </c>
      <c r="B645" s="3" t="s">
        <v>39</v>
      </c>
      <c r="C645" s="3" t="s">
        <v>41</v>
      </c>
      <c r="D645" s="11">
        <v>70000</v>
      </c>
      <c r="E645" s="9" t="str" cm="1">
        <f t="array" ref="E645">_xlfn.IFS(D645&gt;149000, "Very High", D645&gt;99000, "High", D645&gt;59999, "Average", D645&gt;19999, "Low", D645&gt;0, "Poverty")</f>
        <v>Average</v>
      </c>
      <c r="F645" s="3">
        <v>3</v>
      </c>
      <c r="G645" t="s">
        <v>31</v>
      </c>
      <c r="H645" t="s">
        <v>21</v>
      </c>
      <c r="I645" s="3" t="s">
        <v>15</v>
      </c>
      <c r="J645" s="3">
        <v>0</v>
      </c>
      <c r="K645" t="s">
        <v>22</v>
      </c>
      <c r="L645" t="s">
        <v>32</v>
      </c>
      <c r="M645" s="3">
        <v>35</v>
      </c>
      <c r="N645" s="3" t="str" cm="1">
        <f t="array" ref="N645">_xlfn.IFS(M645&gt;59, "Pension Age", M645&gt;44, "Elderly (45+)", M645&gt;29, "Middle Age (30+)", M645&gt;22, "Adult (23+)", M645&gt;15, "Teen/Young Adult (16+)")</f>
        <v>Middle Age (30+)</v>
      </c>
      <c r="O645" s="3" t="s">
        <v>15</v>
      </c>
    </row>
    <row r="646" spans="1:15" x14ac:dyDescent="0.3">
      <c r="A646" s="4">
        <v>23368</v>
      </c>
      <c r="B646" s="3" t="s">
        <v>39</v>
      </c>
      <c r="C646" s="3" t="s">
        <v>41</v>
      </c>
      <c r="D646" s="11">
        <v>60000</v>
      </c>
      <c r="E646" s="9" t="str" cm="1">
        <f t="array" ref="E646">_xlfn.IFS(D646&gt;149000, "Very High", D646&gt;99000, "High", D646&gt;59999, "Average", D646&gt;19999, "Low", D646&gt;0, "Poverty")</f>
        <v>Average</v>
      </c>
      <c r="F646" s="3">
        <v>5</v>
      </c>
      <c r="G646" t="s">
        <v>13</v>
      </c>
      <c r="H646" t="s">
        <v>14</v>
      </c>
      <c r="I646" s="3" t="s">
        <v>15</v>
      </c>
      <c r="J646" s="3">
        <v>3</v>
      </c>
      <c r="K646" t="s">
        <v>30</v>
      </c>
      <c r="L646" t="s">
        <v>32</v>
      </c>
      <c r="M646" s="3">
        <v>41</v>
      </c>
      <c r="N646" s="3" t="str" cm="1">
        <f t="array" ref="N646">_xlfn.IFS(M646&gt;59, "Pension Age", M646&gt;44, "Elderly (45+)", M646&gt;29, "Middle Age (30+)", M646&gt;22, "Adult (23+)", M646&gt;15, "Teen/Young Adult (16+)")</f>
        <v>Middle Age (30+)</v>
      </c>
      <c r="O646" s="3" t="s">
        <v>18</v>
      </c>
    </row>
    <row r="647" spans="1:15" x14ac:dyDescent="0.3">
      <c r="A647" s="4">
        <v>16217</v>
      </c>
      <c r="B647" s="3" t="s">
        <v>40</v>
      </c>
      <c r="C647" s="3" t="s">
        <v>41</v>
      </c>
      <c r="D647" s="11">
        <v>60000</v>
      </c>
      <c r="E647" s="9" t="str" cm="1">
        <f t="array" ref="E647">_xlfn.IFS(D647&gt;149000, "Very High", D647&gt;99000, "High", D647&gt;59999, "Average", D647&gt;19999, "Low", D647&gt;0, "Poverty")</f>
        <v>Average</v>
      </c>
      <c r="F647" s="3">
        <v>0</v>
      </c>
      <c r="G647" t="s">
        <v>31</v>
      </c>
      <c r="H647" t="s">
        <v>14</v>
      </c>
      <c r="I647" s="3" t="s">
        <v>15</v>
      </c>
      <c r="J647" s="3">
        <v>0</v>
      </c>
      <c r="K647" t="s">
        <v>16</v>
      </c>
      <c r="L647" t="s">
        <v>32</v>
      </c>
      <c r="M647" s="3">
        <v>39</v>
      </c>
      <c r="N647" s="3" t="str" cm="1">
        <f t="array" ref="N647">_xlfn.IFS(M647&gt;59, "Pension Age", M647&gt;44, "Elderly (45+)", M647&gt;29, "Middle Age (30+)", M647&gt;22, "Adult (23+)", M647&gt;15, "Teen/Young Adult (16+)")</f>
        <v>Middle Age (30+)</v>
      </c>
      <c r="O647" s="3" t="s">
        <v>18</v>
      </c>
    </row>
    <row r="648" spans="1:15" x14ac:dyDescent="0.3">
      <c r="A648" s="4">
        <v>16247</v>
      </c>
      <c r="B648" s="3" t="s">
        <v>40</v>
      </c>
      <c r="C648" s="3" t="s">
        <v>41</v>
      </c>
      <c r="D648" s="11">
        <v>60000</v>
      </c>
      <c r="E648" s="9" t="str" cm="1">
        <f t="array" ref="E648">_xlfn.IFS(D648&gt;149000, "Very High", D648&gt;99000, "High", D648&gt;59999, "Average", D648&gt;19999, "Low", D648&gt;0, "Poverty")</f>
        <v>Average</v>
      </c>
      <c r="F648" s="3">
        <v>4</v>
      </c>
      <c r="G648" t="s">
        <v>31</v>
      </c>
      <c r="H648" t="s">
        <v>14</v>
      </c>
      <c r="I648" s="3" t="s">
        <v>18</v>
      </c>
      <c r="J648" s="3">
        <v>0</v>
      </c>
      <c r="K648" t="s">
        <v>26</v>
      </c>
      <c r="L648" t="s">
        <v>32</v>
      </c>
      <c r="M648" s="3">
        <v>47</v>
      </c>
      <c r="N648" s="3" t="str" cm="1">
        <f t="array" ref="N648">_xlfn.IFS(M648&gt;59, "Pension Age", M648&gt;44, "Elderly (45+)", M648&gt;29, "Middle Age (30+)", M648&gt;22, "Adult (23+)", M648&gt;15, "Teen/Young Adult (16+)")</f>
        <v>Elderly (45+)</v>
      </c>
      <c r="O648" s="3" t="s">
        <v>18</v>
      </c>
    </row>
    <row r="649" spans="1:15" x14ac:dyDescent="0.3">
      <c r="A649" s="4">
        <v>22010</v>
      </c>
      <c r="B649" s="3" t="s">
        <v>40</v>
      </c>
      <c r="C649" s="3" t="s">
        <v>42</v>
      </c>
      <c r="D649" s="11">
        <v>40000</v>
      </c>
      <c r="E649" s="9" t="str" cm="1">
        <f t="array" ref="E649">_xlfn.IFS(D649&gt;149000, "Very High", D649&gt;99000, "High", D649&gt;59999, "Average", D649&gt;19999, "Low", D649&gt;0, "Poverty")</f>
        <v>Low</v>
      </c>
      <c r="F649" s="3">
        <v>0</v>
      </c>
      <c r="G649" t="s">
        <v>27</v>
      </c>
      <c r="H649" t="s">
        <v>14</v>
      </c>
      <c r="I649" s="3" t="s">
        <v>15</v>
      </c>
      <c r="J649" s="3">
        <v>2</v>
      </c>
      <c r="K649" t="s">
        <v>23</v>
      </c>
      <c r="L649" t="s">
        <v>32</v>
      </c>
      <c r="M649" s="3">
        <v>31</v>
      </c>
      <c r="N649" s="3" t="str" cm="1">
        <f t="array" ref="N649">_xlfn.IFS(M649&gt;59, "Pension Age", M649&gt;44, "Elderly (45+)", M649&gt;29, "Middle Age (30+)", M649&gt;22, "Adult (23+)", M649&gt;15, "Teen/Young Adult (16+)")</f>
        <v>Middle Age (30+)</v>
      </c>
      <c r="O649" s="3" t="s">
        <v>18</v>
      </c>
    </row>
    <row r="650" spans="1:15" x14ac:dyDescent="0.3">
      <c r="A650" s="4">
        <v>25872</v>
      </c>
      <c r="B650" s="3" t="s">
        <v>40</v>
      </c>
      <c r="C650" s="3" t="s">
        <v>41</v>
      </c>
      <c r="D650" s="11">
        <v>70000</v>
      </c>
      <c r="E650" s="9" t="str" cm="1">
        <f t="array" ref="E650">_xlfn.IFS(D650&gt;149000, "Very High", D650&gt;99000, "High", D650&gt;59999, "Average", D650&gt;19999, "Low", D650&gt;0, "Poverty")</f>
        <v>Average</v>
      </c>
      <c r="F650" s="3">
        <v>2</v>
      </c>
      <c r="G650" t="s">
        <v>13</v>
      </c>
      <c r="H650" t="s">
        <v>28</v>
      </c>
      <c r="I650" s="3" t="s">
        <v>18</v>
      </c>
      <c r="J650" s="3">
        <v>1</v>
      </c>
      <c r="K650" t="s">
        <v>22</v>
      </c>
      <c r="L650" t="s">
        <v>32</v>
      </c>
      <c r="M650" s="3">
        <v>58</v>
      </c>
      <c r="N650" s="3" t="str" cm="1">
        <f t="array" ref="N650">_xlfn.IFS(M650&gt;59, "Pension Age", M650&gt;44, "Elderly (45+)", M650&gt;29, "Middle Age (30+)", M650&gt;22, "Adult (23+)", M650&gt;15, "Teen/Young Adult (16+)")</f>
        <v>Elderly (45+)</v>
      </c>
      <c r="O650" s="3" t="s">
        <v>15</v>
      </c>
    </row>
    <row r="651" spans="1:15" x14ac:dyDescent="0.3">
      <c r="A651" s="4">
        <v>19164</v>
      </c>
      <c r="B651" s="3" t="s">
        <v>40</v>
      </c>
      <c r="C651" s="3" t="s">
        <v>41</v>
      </c>
      <c r="D651" s="11">
        <v>70000</v>
      </c>
      <c r="E651" s="9" t="str" cm="1">
        <f t="array" ref="E651">_xlfn.IFS(D651&gt;149000, "Very High", D651&gt;99000, "High", D651&gt;59999, "Average", D651&gt;19999, "Low", D651&gt;0, "Poverty")</f>
        <v>Average</v>
      </c>
      <c r="F651" s="3">
        <v>0</v>
      </c>
      <c r="G651" t="s">
        <v>13</v>
      </c>
      <c r="H651" t="s">
        <v>21</v>
      </c>
      <c r="I651" s="3" t="s">
        <v>18</v>
      </c>
      <c r="J651" s="3">
        <v>1</v>
      </c>
      <c r="K651" t="s">
        <v>22</v>
      </c>
      <c r="L651" t="s">
        <v>32</v>
      </c>
      <c r="M651" s="3">
        <v>38</v>
      </c>
      <c r="N651" s="3" t="str" cm="1">
        <f t="array" ref="N651">_xlfn.IFS(M651&gt;59, "Pension Age", M651&gt;44, "Elderly (45+)", M651&gt;29, "Middle Age (30+)", M651&gt;22, "Adult (23+)", M651&gt;15, "Teen/Young Adult (16+)")</f>
        <v>Middle Age (30+)</v>
      </c>
      <c r="O651" s="3" t="s">
        <v>15</v>
      </c>
    </row>
    <row r="652" spans="1:15" x14ac:dyDescent="0.3">
      <c r="A652" s="4">
        <v>18435</v>
      </c>
      <c r="B652" s="3" t="s">
        <v>40</v>
      </c>
      <c r="C652" s="3" t="s">
        <v>41</v>
      </c>
      <c r="D652" s="11">
        <v>70000</v>
      </c>
      <c r="E652" s="9" t="str" cm="1">
        <f t="array" ref="E652">_xlfn.IFS(D652&gt;149000, "Very High", D652&gt;99000, "High", D652&gt;59999, "Average", D652&gt;19999, "Low", D652&gt;0, "Poverty")</f>
        <v>Average</v>
      </c>
      <c r="F652" s="3">
        <v>5</v>
      </c>
      <c r="G652" t="s">
        <v>31</v>
      </c>
      <c r="H652" t="s">
        <v>28</v>
      </c>
      <c r="I652" s="3" t="s">
        <v>15</v>
      </c>
      <c r="J652" s="3">
        <v>2</v>
      </c>
      <c r="K652" t="s">
        <v>30</v>
      </c>
      <c r="L652" t="s">
        <v>32</v>
      </c>
      <c r="M652" s="3">
        <v>67</v>
      </c>
      <c r="N652" s="3" t="str" cm="1">
        <f t="array" ref="N652">_xlfn.IFS(M652&gt;59, "Pension Age", M652&gt;44, "Elderly (45+)", M652&gt;29, "Middle Age (30+)", M652&gt;22, "Adult (23+)", M652&gt;15, "Teen/Young Adult (16+)")</f>
        <v>Pension Age</v>
      </c>
      <c r="O652" s="3" t="s">
        <v>15</v>
      </c>
    </row>
    <row r="653" spans="1:15" x14ac:dyDescent="0.3">
      <c r="A653" s="4">
        <v>14284</v>
      </c>
      <c r="B653" s="3" t="s">
        <v>40</v>
      </c>
      <c r="C653" s="3" t="s">
        <v>42</v>
      </c>
      <c r="D653" s="11">
        <v>60000</v>
      </c>
      <c r="E653" s="9" t="str" cm="1">
        <f t="array" ref="E653">_xlfn.IFS(D653&gt;149000, "Very High", D653&gt;99000, "High", D653&gt;59999, "Average", D653&gt;19999, "Low", D653&gt;0, "Poverty")</f>
        <v>Average</v>
      </c>
      <c r="F653" s="3">
        <v>0</v>
      </c>
      <c r="G653" t="s">
        <v>19</v>
      </c>
      <c r="H653" t="s">
        <v>21</v>
      </c>
      <c r="I653" s="3" t="s">
        <v>18</v>
      </c>
      <c r="J653" s="3">
        <v>2</v>
      </c>
      <c r="K653" t="s">
        <v>26</v>
      </c>
      <c r="L653" t="s">
        <v>32</v>
      </c>
      <c r="M653" s="3">
        <v>32</v>
      </c>
      <c r="N653" s="3" t="str" cm="1">
        <f t="array" ref="N653">_xlfn.IFS(M653&gt;59, "Pension Age", M653&gt;44, "Elderly (45+)", M653&gt;29, "Middle Age (30+)", M653&gt;22, "Adult (23+)", M653&gt;15, "Teen/Young Adult (16+)")</f>
        <v>Middle Age (30+)</v>
      </c>
      <c r="O653" s="3" t="s">
        <v>15</v>
      </c>
    </row>
    <row r="654" spans="1:15" x14ac:dyDescent="0.3">
      <c r="A654" s="4">
        <v>11287</v>
      </c>
      <c r="B654" s="3" t="s">
        <v>39</v>
      </c>
      <c r="C654" s="3" t="s">
        <v>42</v>
      </c>
      <c r="D654" s="11">
        <v>70000</v>
      </c>
      <c r="E654" s="9" t="str" cm="1">
        <f t="array" ref="E654">_xlfn.IFS(D654&gt;149000, "Very High", D654&gt;99000, "High", D654&gt;59999, "Average", D654&gt;19999, "Low", D654&gt;0, "Poverty")</f>
        <v>Average</v>
      </c>
      <c r="F654" s="3">
        <v>5</v>
      </c>
      <c r="G654" t="s">
        <v>19</v>
      </c>
      <c r="H654" t="s">
        <v>21</v>
      </c>
      <c r="I654" s="3" t="s">
        <v>18</v>
      </c>
      <c r="J654" s="3">
        <v>3</v>
      </c>
      <c r="K654" t="s">
        <v>23</v>
      </c>
      <c r="L654" t="s">
        <v>32</v>
      </c>
      <c r="M654" s="3">
        <v>45</v>
      </c>
      <c r="N654" s="3" t="str" cm="1">
        <f t="array" ref="N654">_xlfn.IFS(M654&gt;59, "Pension Age", M654&gt;44, "Elderly (45+)", M654&gt;29, "Middle Age (30+)", M654&gt;22, "Adult (23+)", M654&gt;15, "Teen/Young Adult (16+)")</f>
        <v>Elderly (45+)</v>
      </c>
      <c r="O654" s="3" t="s">
        <v>18</v>
      </c>
    </row>
    <row r="655" spans="1:15" x14ac:dyDescent="0.3">
      <c r="A655" s="4">
        <v>13066</v>
      </c>
      <c r="B655" s="3" t="s">
        <v>40</v>
      </c>
      <c r="C655" s="3" t="s">
        <v>42</v>
      </c>
      <c r="D655" s="11">
        <v>30000</v>
      </c>
      <c r="E655" s="9" t="str" cm="1">
        <f t="array" ref="E655">_xlfn.IFS(D655&gt;149000, "Very High", D655&gt;99000, "High", D655&gt;59999, "Average", D655&gt;19999, "Low", D655&gt;0, "Poverty")</f>
        <v>Low</v>
      </c>
      <c r="F655" s="3">
        <v>0</v>
      </c>
      <c r="G655" t="s">
        <v>27</v>
      </c>
      <c r="H655" t="s">
        <v>14</v>
      </c>
      <c r="I655" s="3" t="s">
        <v>18</v>
      </c>
      <c r="J655" s="3">
        <v>2</v>
      </c>
      <c r="K655" t="s">
        <v>26</v>
      </c>
      <c r="L655" t="s">
        <v>32</v>
      </c>
      <c r="M655" s="3">
        <v>31</v>
      </c>
      <c r="N655" s="3" t="str" cm="1">
        <f t="array" ref="N655">_xlfn.IFS(M655&gt;59, "Pension Age", M655&gt;44, "Elderly (45+)", M655&gt;29, "Middle Age (30+)", M655&gt;22, "Adult (23+)", M655&gt;15, "Teen/Young Adult (16+)")</f>
        <v>Middle Age (30+)</v>
      </c>
      <c r="O655" s="3" t="s">
        <v>15</v>
      </c>
    </row>
    <row r="656" spans="1:15" x14ac:dyDescent="0.3">
      <c r="A656" s="4">
        <v>29106</v>
      </c>
      <c r="B656" s="3" t="s">
        <v>40</v>
      </c>
      <c r="C656" s="3" t="s">
        <v>42</v>
      </c>
      <c r="D656" s="11">
        <v>40000</v>
      </c>
      <c r="E656" s="9" t="str" cm="1">
        <f t="array" ref="E656">_xlfn.IFS(D656&gt;149000, "Very High", D656&gt;99000, "High", D656&gt;59999, "Average", D656&gt;19999, "Low", D656&gt;0, "Poverty")</f>
        <v>Low</v>
      </c>
      <c r="F656" s="3">
        <v>0</v>
      </c>
      <c r="G656" t="s">
        <v>27</v>
      </c>
      <c r="H656" t="s">
        <v>14</v>
      </c>
      <c r="I656" s="3" t="s">
        <v>18</v>
      </c>
      <c r="J656" s="3">
        <v>2</v>
      </c>
      <c r="K656" t="s">
        <v>26</v>
      </c>
      <c r="L656" t="s">
        <v>32</v>
      </c>
      <c r="M656" s="3">
        <v>31</v>
      </c>
      <c r="N656" s="3" t="str" cm="1">
        <f t="array" ref="N656">_xlfn.IFS(M656&gt;59, "Pension Age", M656&gt;44, "Elderly (45+)", M656&gt;29, "Middle Age (30+)", M656&gt;22, "Adult (23+)", M656&gt;15, "Teen/Young Adult (16+)")</f>
        <v>Middle Age (30+)</v>
      </c>
      <c r="O656" s="3" t="s">
        <v>15</v>
      </c>
    </row>
    <row r="657" spans="1:15" x14ac:dyDescent="0.3">
      <c r="A657" s="4">
        <v>26236</v>
      </c>
      <c r="B657" s="3" t="s">
        <v>39</v>
      </c>
      <c r="C657" s="3" t="s">
        <v>41</v>
      </c>
      <c r="D657" s="11">
        <v>40000</v>
      </c>
      <c r="E657" s="9" t="str" cm="1">
        <f t="array" ref="E657">_xlfn.IFS(D657&gt;149000, "Very High", D657&gt;99000, "High", D657&gt;59999, "Average", D657&gt;19999, "Low", D657&gt;0, "Poverty")</f>
        <v>Low</v>
      </c>
      <c r="F657" s="3">
        <v>3</v>
      </c>
      <c r="G657" t="s">
        <v>19</v>
      </c>
      <c r="H657" t="s">
        <v>20</v>
      </c>
      <c r="I657" s="3" t="s">
        <v>15</v>
      </c>
      <c r="J657" s="3">
        <v>1</v>
      </c>
      <c r="K657" t="s">
        <v>16</v>
      </c>
      <c r="L657" t="s">
        <v>32</v>
      </c>
      <c r="M657" s="3">
        <v>31</v>
      </c>
      <c r="N657" s="3" t="str" cm="1">
        <f t="array" ref="N657">_xlfn.IFS(M657&gt;59, "Pension Age", M657&gt;44, "Elderly (45+)", M657&gt;29, "Middle Age (30+)", M657&gt;22, "Adult (23+)", M657&gt;15, "Teen/Young Adult (16+)")</f>
        <v>Middle Age (30+)</v>
      </c>
      <c r="O657" s="3" t="s">
        <v>18</v>
      </c>
    </row>
    <row r="658" spans="1:15" x14ac:dyDescent="0.3">
      <c r="A658" s="4">
        <v>17531</v>
      </c>
      <c r="B658" s="3" t="s">
        <v>39</v>
      </c>
      <c r="C658" s="3" t="s">
        <v>42</v>
      </c>
      <c r="D658" s="11">
        <v>60000</v>
      </c>
      <c r="E658" s="9" t="str" cm="1">
        <f t="array" ref="E658">_xlfn.IFS(D658&gt;149000, "Very High", D658&gt;99000, "High", D658&gt;59999, "Average", D658&gt;19999, "Low", D658&gt;0, "Poverty")</f>
        <v>Average</v>
      </c>
      <c r="F658" s="3">
        <v>2</v>
      </c>
      <c r="G658" t="s">
        <v>27</v>
      </c>
      <c r="H658" t="s">
        <v>21</v>
      </c>
      <c r="I658" s="3" t="s">
        <v>18</v>
      </c>
      <c r="J658" s="3">
        <v>2</v>
      </c>
      <c r="K658" t="s">
        <v>23</v>
      </c>
      <c r="L658" t="s">
        <v>32</v>
      </c>
      <c r="M658" s="3">
        <v>50</v>
      </c>
      <c r="N658" s="3" t="str" cm="1">
        <f t="array" ref="N658">_xlfn.IFS(M658&gt;59, "Pension Age", M658&gt;44, "Elderly (45+)", M658&gt;29, "Middle Age (30+)", M658&gt;22, "Adult (23+)", M658&gt;15, "Teen/Young Adult (16+)")</f>
        <v>Elderly (45+)</v>
      </c>
      <c r="O658" s="3" t="s">
        <v>18</v>
      </c>
    </row>
    <row r="659" spans="1:15" x14ac:dyDescent="0.3">
      <c r="A659" s="4">
        <v>12964</v>
      </c>
      <c r="B659" s="3" t="s">
        <v>39</v>
      </c>
      <c r="C659" s="3" t="s">
        <v>42</v>
      </c>
      <c r="D659" s="11">
        <v>70000</v>
      </c>
      <c r="E659" s="9" t="str" cm="1">
        <f t="array" ref="E659">_xlfn.IFS(D659&gt;149000, "Very High", D659&gt;99000, "High", D659&gt;59999, "Average", D659&gt;19999, "Low", D659&gt;0, "Poverty")</f>
        <v>Average</v>
      </c>
      <c r="F659" s="3">
        <v>1</v>
      </c>
      <c r="G659" t="s">
        <v>19</v>
      </c>
      <c r="H659" t="s">
        <v>14</v>
      </c>
      <c r="I659" s="3" t="s">
        <v>15</v>
      </c>
      <c r="J659" s="3">
        <v>1</v>
      </c>
      <c r="K659" t="s">
        <v>16</v>
      </c>
      <c r="L659" t="s">
        <v>32</v>
      </c>
      <c r="M659" s="3">
        <v>44</v>
      </c>
      <c r="N659" s="3" t="str" cm="1">
        <f t="array" ref="N659">_xlfn.IFS(M659&gt;59, "Pension Age", M659&gt;44, "Elderly (45+)", M659&gt;29, "Middle Age (30+)", M659&gt;22, "Adult (23+)", M659&gt;15, "Teen/Young Adult (16+)")</f>
        <v>Middle Age (30+)</v>
      </c>
      <c r="O659" s="3" t="s">
        <v>18</v>
      </c>
    </row>
    <row r="660" spans="1:15" x14ac:dyDescent="0.3">
      <c r="A660" s="4">
        <v>19133</v>
      </c>
      <c r="B660" s="3" t="s">
        <v>40</v>
      </c>
      <c r="C660" s="3" t="s">
        <v>42</v>
      </c>
      <c r="D660" s="11">
        <v>50000</v>
      </c>
      <c r="E660" s="9" t="str" cm="1">
        <f t="array" ref="E660">_xlfn.IFS(D660&gt;149000, "Very High", D660&gt;99000, "High", D660&gt;59999, "Average", D660&gt;19999, "Low", D660&gt;0, "Poverty")</f>
        <v>Low</v>
      </c>
      <c r="F660" s="3">
        <v>2</v>
      </c>
      <c r="G660" t="s">
        <v>13</v>
      </c>
      <c r="H660" t="s">
        <v>14</v>
      </c>
      <c r="I660" s="3" t="s">
        <v>15</v>
      </c>
      <c r="J660" s="3">
        <v>1</v>
      </c>
      <c r="K660" t="s">
        <v>22</v>
      </c>
      <c r="L660" t="s">
        <v>32</v>
      </c>
      <c r="M660" s="3">
        <v>38</v>
      </c>
      <c r="N660" s="3" t="str" cm="1">
        <f t="array" ref="N660">_xlfn.IFS(M660&gt;59, "Pension Age", M660&gt;44, "Elderly (45+)", M660&gt;29, "Middle Age (30+)", M660&gt;22, "Adult (23+)", M660&gt;15, "Teen/Young Adult (16+)")</f>
        <v>Middle Age (30+)</v>
      </c>
      <c r="O660" s="3" t="s">
        <v>15</v>
      </c>
    </row>
    <row r="661" spans="1:15" x14ac:dyDescent="0.3">
      <c r="A661" s="4">
        <v>24643</v>
      </c>
      <c r="B661" s="3" t="s">
        <v>40</v>
      </c>
      <c r="C661" s="3" t="s">
        <v>41</v>
      </c>
      <c r="D661" s="11">
        <v>60000</v>
      </c>
      <c r="E661" s="9" t="str" cm="1">
        <f t="array" ref="E661">_xlfn.IFS(D661&gt;149000, "Very High", D661&gt;99000, "High", D661&gt;59999, "Average", D661&gt;19999, "Low", D661&gt;0, "Poverty")</f>
        <v>Average</v>
      </c>
      <c r="F661" s="3">
        <v>4</v>
      </c>
      <c r="G661" t="s">
        <v>13</v>
      </c>
      <c r="H661" t="s">
        <v>28</v>
      </c>
      <c r="I661" s="3" t="s">
        <v>15</v>
      </c>
      <c r="J661" s="3">
        <v>2</v>
      </c>
      <c r="K661" t="s">
        <v>30</v>
      </c>
      <c r="L661" t="s">
        <v>32</v>
      </c>
      <c r="M661" s="3">
        <v>63</v>
      </c>
      <c r="N661" s="3" t="str" cm="1">
        <f t="array" ref="N661">_xlfn.IFS(M661&gt;59, "Pension Age", M661&gt;44, "Elderly (45+)", M661&gt;29, "Middle Age (30+)", M661&gt;22, "Adult (23+)", M661&gt;15, "Teen/Young Adult (16+)")</f>
        <v>Pension Age</v>
      </c>
      <c r="O661" s="3" t="s">
        <v>18</v>
      </c>
    </row>
    <row r="662" spans="1:15" x14ac:dyDescent="0.3">
      <c r="A662" s="4">
        <v>21599</v>
      </c>
      <c r="B662" s="3" t="s">
        <v>39</v>
      </c>
      <c r="C662" s="3" t="s">
        <v>41</v>
      </c>
      <c r="D662" s="11">
        <v>60000</v>
      </c>
      <c r="E662" s="9" t="str" cm="1">
        <f t="array" ref="E662">_xlfn.IFS(D662&gt;149000, "Very High", D662&gt;99000, "High", D662&gt;59999, "Average", D662&gt;19999, "Low", D662&gt;0, "Poverty")</f>
        <v>Average</v>
      </c>
      <c r="F662" s="3">
        <v>1</v>
      </c>
      <c r="G662" t="s">
        <v>31</v>
      </c>
      <c r="H662" t="s">
        <v>21</v>
      </c>
      <c r="I662" s="3" t="s">
        <v>15</v>
      </c>
      <c r="J662" s="3">
        <v>0</v>
      </c>
      <c r="K662" t="s">
        <v>22</v>
      </c>
      <c r="L662" t="s">
        <v>32</v>
      </c>
      <c r="M662" s="3">
        <v>36</v>
      </c>
      <c r="N662" s="3" t="str" cm="1">
        <f t="array" ref="N662">_xlfn.IFS(M662&gt;59, "Pension Age", M662&gt;44, "Elderly (45+)", M662&gt;29, "Middle Age (30+)", M662&gt;22, "Adult (23+)", M662&gt;15, "Teen/Young Adult (16+)")</f>
        <v>Middle Age (30+)</v>
      </c>
      <c r="O662" s="3" t="s">
        <v>15</v>
      </c>
    </row>
    <row r="663" spans="1:15" x14ac:dyDescent="0.3">
      <c r="A663" s="4">
        <v>22976</v>
      </c>
      <c r="B663" s="3" t="s">
        <v>40</v>
      </c>
      <c r="C663" s="3" t="s">
        <v>42</v>
      </c>
      <c r="D663" s="11">
        <v>40000</v>
      </c>
      <c r="E663" s="9" t="str" cm="1">
        <f t="array" ref="E663">_xlfn.IFS(D663&gt;149000, "Very High", D663&gt;99000, "High", D663&gt;59999, "Average", D663&gt;19999, "Low", D663&gt;0, "Poverty")</f>
        <v>Low</v>
      </c>
      <c r="F663" s="3">
        <v>0</v>
      </c>
      <c r="G663" t="s">
        <v>27</v>
      </c>
      <c r="H663" t="s">
        <v>14</v>
      </c>
      <c r="I663" s="3" t="s">
        <v>18</v>
      </c>
      <c r="J663" s="3">
        <v>2</v>
      </c>
      <c r="K663" t="s">
        <v>16</v>
      </c>
      <c r="L663" t="s">
        <v>32</v>
      </c>
      <c r="M663" s="3">
        <v>28</v>
      </c>
      <c r="N663" s="3" t="str" cm="1">
        <f t="array" ref="N663">_xlfn.IFS(M663&gt;59, "Pension Age", M663&gt;44, "Elderly (45+)", M663&gt;29, "Middle Age (30+)", M663&gt;22, "Adult (23+)", M663&gt;15, "Teen/Young Adult (16+)")</f>
        <v>Adult (23+)</v>
      </c>
      <c r="O663" s="3" t="s">
        <v>15</v>
      </c>
    </row>
    <row r="664" spans="1:15" x14ac:dyDescent="0.3">
      <c r="A664" s="4">
        <v>27637</v>
      </c>
      <c r="B664" s="3" t="s">
        <v>40</v>
      </c>
      <c r="C664" s="3" t="s">
        <v>41</v>
      </c>
      <c r="D664" s="11">
        <v>100000</v>
      </c>
      <c r="E664" s="9" t="str" cm="1">
        <f t="array" ref="E664">_xlfn.IFS(D664&gt;149000, "Very High", D664&gt;99000, "High", D664&gt;59999, "Average", D664&gt;19999, "Low", D664&gt;0, "Poverty")</f>
        <v>High</v>
      </c>
      <c r="F664" s="3">
        <v>1</v>
      </c>
      <c r="G664" t="s">
        <v>19</v>
      </c>
      <c r="H664" t="s">
        <v>21</v>
      </c>
      <c r="I664" s="3" t="s">
        <v>18</v>
      </c>
      <c r="J664" s="3">
        <v>3</v>
      </c>
      <c r="K664" t="s">
        <v>26</v>
      </c>
      <c r="L664" t="s">
        <v>32</v>
      </c>
      <c r="M664" s="3">
        <v>44</v>
      </c>
      <c r="N664" s="3" t="str" cm="1">
        <f t="array" ref="N664">_xlfn.IFS(M664&gt;59, "Pension Age", M664&gt;44, "Elderly (45+)", M664&gt;29, "Middle Age (30+)", M664&gt;22, "Adult (23+)", M664&gt;15, "Teen/Young Adult (16+)")</f>
        <v>Middle Age (30+)</v>
      </c>
      <c r="O664" s="3" t="s">
        <v>18</v>
      </c>
    </row>
    <row r="665" spans="1:15" x14ac:dyDescent="0.3">
      <c r="A665" s="4">
        <v>11890</v>
      </c>
      <c r="B665" s="3" t="s">
        <v>39</v>
      </c>
      <c r="C665" s="3" t="s">
        <v>41</v>
      </c>
      <c r="D665" s="11">
        <v>70000</v>
      </c>
      <c r="E665" s="9" t="str" cm="1">
        <f t="array" ref="E665">_xlfn.IFS(D665&gt;149000, "Very High", D665&gt;99000, "High", D665&gt;59999, "Average", D665&gt;19999, "Low", D665&gt;0, "Poverty")</f>
        <v>Average</v>
      </c>
      <c r="F665" s="3">
        <v>5</v>
      </c>
      <c r="G665" t="s">
        <v>31</v>
      </c>
      <c r="H665" t="s">
        <v>21</v>
      </c>
      <c r="I665" s="3" t="s">
        <v>15</v>
      </c>
      <c r="J665" s="3">
        <v>1</v>
      </c>
      <c r="K665" t="s">
        <v>16</v>
      </c>
      <c r="L665" t="s">
        <v>32</v>
      </c>
      <c r="M665" s="3">
        <v>47</v>
      </c>
      <c r="N665" s="3" t="str" cm="1">
        <f t="array" ref="N665">_xlfn.IFS(M665&gt;59, "Pension Age", M665&gt;44, "Elderly (45+)", M665&gt;29, "Middle Age (30+)", M665&gt;22, "Adult (23+)", M665&gt;15, "Teen/Young Adult (16+)")</f>
        <v>Elderly (45+)</v>
      </c>
      <c r="O665" s="3" t="s">
        <v>18</v>
      </c>
    </row>
    <row r="666" spans="1:15" x14ac:dyDescent="0.3">
      <c r="A666" s="4">
        <v>28580</v>
      </c>
      <c r="B666" s="3" t="s">
        <v>39</v>
      </c>
      <c r="C666" s="3" t="s">
        <v>41</v>
      </c>
      <c r="D666" s="11">
        <v>80000</v>
      </c>
      <c r="E666" s="9" t="str" cm="1">
        <f t="array" ref="E666">_xlfn.IFS(D666&gt;149000, "Very High", D666&gt;99000, "High", D666&gt;59999, "Average", D666&gt;19999, "Low", D666&gt;0, "Poverty")</f>
        <v>Average</v>
      </c>
      <c r="F666" s="3">
        <v>0</v>
      </c>
      <c r="G666" t="s">
        <v>31</v>
      </c>
      <c r="H666" t="s">
        <v>14</v>
      </c>
      <c r="I666" s="3" t="s">
        <v>15</v>
      </c>
      <c r="J666" s="3">
        <v>0</v>
      </c>
      <c r="K666" t="s">
        <v>26</v>
      </c>
      <c r="L666" t="s">
        <v>32</v>
      </c>
      <c r="M666" s="3">
        <v>40</v>
      </c>
      <c r="N666" s="3" t="str" cm="1">
        <f t="array" ref="N666">_xlfn.IFS(M666&gt;59, "Pension Age", M666&gt;44, "Elderly (45+)", M666&gt;29, "Middle Age (30+)", M666&gt;22, "Adult (23+)", M666&gt;15, "Teen/Young Adult (16+)")</f>
        <v>Middle Age (30+)</v>
      </c>
      <c r="O666" s="3" t="s">
        <v>15</v>
      </c>
    </row>
    <row r="667" spans="1:15" x14ac:dyDescent="0.3">
      <c r="A667" s="4">
        <v>14443</v>
      </c>
      <c r="B667" s="3" t="s">
        <v>39</v>
      </c>
      <c r="C667" s="3" t="s">
        <v>42</v>
      </c>
      <c r="D667" s="11">
        <v>130000</v>
      </c>
      <c r="E667" s="9" t="str" cm="1">
        <f t="array" ref="E667">_xlfn.IFS(D667&gt;149000, "Very High", D667&gt;99000, "High", D667&gt;59999, "Average", D667&gt;19999, "Low", D667&gt;0, "Poverty")</f>
        <v>High</v>
      </c>
      <c r="F667" s="3">
        <v>1</v>
      </c>
      <c r="G667" t="s">
        <v>31</v>
      </c>
      <c r="H667" t="s">
        <v>28</v>
      </c>
      <c r="I667" s="3" t="s">
        <v>15</v>
      </c>
      <c r="J667" s="3">
        <v>4</v>
      </c>
      <c r="K667" t="s">
        <v>16</v>
      </c>
      <c r="L667" t="s">
        <v>32</v>
      </c>
      <c r="M667" s="3">
        <v>40</v>
      </c>
      <c r="N667" s="3" t="str" cm="1">
        <f t="array" ref="N667">_xlfn.IFS(M667&gt;59, "Pension Age", M667&gt;44, "Elderly (45+)", M667&gt;29, "Middle Age (30+)", M667&gt;22, "Adult (23+)", M667&gt;15, "Teen/Young Adult (16+)")</f>
        <v>Middle Age (30+)</v>
      </c>
      <c r="O667" s="3" t="s">
        <v>18</v>
      </c>
    </row>
    <row r="668" spans="1:15" x14ac:dyDescent="0.3">
      <c r="A668" s="4">
        <v>17864</v>
      </c>
      <c r="B668" s="3" t="s">
        <v>39</v>
      </c>
      <c r="C668" s="3" t="s">
        <v>41</v>
      </c>
      <c r="D668" s="11">
        <v>60000</v>
      </c>
      <c r="E668" s="9" t="str" cm="1">
        <f t="array" ref="E668">_xlfn.IFS(D668&gt;149000, "Very High", D668&gt;99000, "High", D668&gt;59999, "Average", D668&gt;19999, "Low", D668&gt;0, "Poverty")</f>
        <v>Average</v>
      </c>
      <c r="F668" s="3">
        <v>1</v>
      </c>
      <c r="G668" t="s">
        <v>19</v>
      </c>
      <c r="H668" t="s">
        <v>14</v>
      </c>
      <c r="I668" s="3" t="s">
        <v>15</v>
      </c>
      <c r="J668" s="3">
        <v>1</v>
      </c>
      <c r="K668" t="s">
        <v>22</v>
      </c>
      <c r="L668" t="s">
        <v>32</v>
      </c>
      <c r="M668" s="3">
        <v>46</v>
      </c>
      <c r="N668" s="3" t="str" cm="1">
        <f t="array" ref="N668">_xlfn.IFS(M668&gt;59, "Pension Age", M668&gt;44, "Elderly (45+)", M668&gt;29, "Middle Age (30+)", M668&gt;22, "Adult (23+)", M668&gt;15, "Teen/Young Adult (16+)")</f>
        <v>Elderly (45+)</v>
      </c>
      <c r="O668" s="3" t="s">
        <v>15</v>
      </c>
    </row>
    <row r="669" spans="1:15" x14ac:dyDescent="0.3">
      <c r="A669" s="4">
        <v>20505</v>
      </c>
      <c r="B669" s="3" t="s">
        <v>39</v>
      </c>
      <c r="C669" s="3" t="s">
        <v>41</v>
      </c>
      <c r="D669" s="11">
        <v>40000</v>
      </c>
      <c r="E669" s="9" t="str" cm="1">
        <f t="array" ref="E669">_xlfn.IFS(D669&gt;149000, "Very High", D669&gt;99000, "High", D669&gt;59999, "Average", D669&gt;19999, "Low", D669&gt;0, "Poverty")</f>
        <v>Low</v>
      </c>
      <c r="F669" s="3">
        <v>5</v>
      </c>
      <c r="G669" t="s">
        <v>27</v>
      </c>
      <c r="H669" t="s">
        <v>21</v>
      </c>
      <c r="I669" s="3" t="s">
        <v>18</v>
      </c>
      <c r="J669" s="3">
        <v>2</v>
      </c>
      <c r="K669" t="s">
        <v>30</v>
      </c>
      <c r="L669" t="s">
        <v>32</v>
      </c>
      <c r="M669" s="3">
        <v>61</v>
      </c>
      <c r="N669" s="3" t="str" cm="1">
        <f t="array" ref="N669">_xlfn.IFS(M669&gt;59, "Pension Age", M669&gt;44, "Elderly (45+)", M669&gt;29, "Middle Age (30+)", M669&gt;22, "Adult (23+)", M669&gt;15, "Teen/Young Adult (16+)")</f>
        <v>Pension Age</v>
      </c>
      <c r="O669" s="3" t="s">
        <v>18</v>
      </c>
    </row>
    <row r="670" spans="1:15" x14ac:dyDescent="0.3">
      <c r="A670" s="4">
        <v>14592</v>
      </c>
      <c r="B670" s="3" t="s">
        <v>39</v>
      </c>
      <c r="C670" s="3" t="s">
        <v>41</v>
      </c>
      <c r="D670" s="11">
        <v>60000</v>
      </c>
      <c r="E670" s="9" t="str" cm="1">
        <f t="array" ref="E670">_xlfn.IFS(D670&gt;149000, "Very High", D670&gt;99000, "High", D670&gt;59999, "Average", D670&gt;19999, "Low", D670&gt;0, "Poverty")</f>
        <v>Average</v>
      </c>
      <c r="F670" s="3">
        <v>0</v>
      </c>
      <c r="G670" t="s">
        <v>31</v>
      </c>
      <c r="H670" t="s">
        <v>21</v>
      </c>
      <c r="I670" s="3" t="s">
        <v>15</v>
      </c>
      <c r="J670" s="3">
        <v>0</v>
      </c>
      <c r="K670" t="s">
        <v>16</v>
      </c>
      <c r="L670" t="s">
        <v>32</v>
      </c>
      <c r="M670" s="3">
        <v>40</v>
      </c>
      <c r="N670" s="3" t="str" cm="1">
        <f t="array" ref="N670">_xlfn.IFS(M670&gt;59, "Pension Age", M670&gt;44, "Elderly (45+)", M670&gt;29, "Middle Age (30+)", M670&gt;22, "Adult (23+)", M670&gt;15, "Teen/Young Adult (16+)")</f>
        <v>Middle Age (30+)</v>
      </c>
      <c r="O670" s="3" t="s">
        <v>18</v>
      </c>
    </row>
    <row r="671" spans="1:15" x14ac:dyDescent="0.3">
      <c r="A671" s="4">
        <v>22227</v>
      </c>
      <c r="B671" s="3" t="s">
        <v>39</v>
      </c>
      <c r="C671" s="3" t="s">
        <v>41</v>
      </c>
      <c r="D671" s="11">
        <v>60000</v>
      </c>
      <c r="E671" s="9" t="str" cm="1">
        <f t="array" ref="E671">_xlfn.IFS(D671&gt;149000, "Very High", D671&gt;99000, "High", D671&gt;59999, "Average", D671&gt;19999, "Low", D671&gt;0, "Poverty")</f>
        <v>Average</v>
      </c>
      <c r="F671" s="3">
        <v>2</v>
      </c>
      <c r="G671" t="s">
        <v>27</v>
      </c>
      <c r="H671" t="s">
        <v>21</v>
      </c>
      <c r="I671" s="3" t="s">
        <v>15</v>
      </c>
      <c r="J671" s="3">
        <v>2</v>
      </c>
      <c r="K671" t="s">
        <v>23</v>
      </c>
      <c r="L671" t="s">
        <v>32</v>
      </c>
      <c r="M671" s="3">
        <v>50</v>
      </c>
      <c r="N671" s="3" t="str" cm="1">
        <f t="array" ref="N671">_xlfn.IFS(M671&gt;59, "Pension Age", M671&gt;44, "Elderly (45+)", M671&gt;29, "Middle Age (30+)", M671&gt;22, "Adult (23+)", M671&gt;15, "Teen/Young Adult (16+)")</f>
        <v>Elderly (45+)</v>
      </c>
      <c r="O671" s="3" t="s">
        <v>18</v>
      </c>
    </row>
    <row r="672" spans="1:15" x14ac:dyDescent="0.3">
      <c r="A672" s="4">
        <v>21471</v>
      </c>
      <c r="B672" s="3" t="s">
        <v>39</v>
      </c>
      <c r="C672" s="3" t="s">
        <v>42</v>
      </c>
      <c r="D672" s="11">
        <v>70000</v>
      </c>
      <c r="E672" s="9" t="str" cm="1">
        <f t="array" ref="E672">_xlfn.IFS(D672&gt;149000, "Very High", D672&gt;99000, "High", D672&gt;59999, "Average", D672&gt;19999, "Low", D672&gt;0, "Poverty")</f>
        <v>Average</v>
      </c>
      <c r="F672" s="3">
        <v>2</v>
      </c>
      <c r="G672" t="s">
        <v>19</v>
      </c>
      <c r="H672" t="s">
        <v>21</v>
      </c>
      <c r="I672" s="3" t="s">
        <v>15</v>
      </c>
      <c r="J672" s="3">
        <v>1</v>
      </c>
      <c r="K672" t="s">
        <v>30</v>
      </c>
      <c r="L672" t="s">
        <v>32</v>
      </c>
      <c r="M672" s="3">
        <v>59</v>
      </c>
      <c r="N672" s="3" t="str" cm="1">
        <f t="array" ref="N672">_xlfn.IFS(M672&gt;59, "Pension Age", M672&gt;44, "Elderly (45+)", M672&gt;29, "Middle Age (30+)", M672&gt;22, "Adult (23+)", M672&gt;15, "Teen/Young Adult (16+)")</f>
        <v>Elderly (45+)</v>
      </c>
      <c r="O672" s="3" t="s">
        <v>18</v>
      </c>
    </row>
    <row r="673" spans="1:15" x14ac:dyDescent="0.3">
      <c r="A673" s="4">
        <v>22252</v>
      </c>
      <c r="B673" s="3" t="s">
        <v>40</v>
      </c>
      <c r="C673" s="3" t="s">
        <v>41</v>
      </c>
      <c r="D673" s="11">
        <v>60000</v>
      </c>
      <c r="E673" s="9" t="str" cm="1">
        <f t="array" ref="E673">_xlfn.IFS(D673&gt;149000, "Very High", D673&gt;99000, "High", D673&gt;59999, "Average", D673&gt;19999, "Low", D673&gt;0, "Poverty")</f>
        <v>Average</v>
      </c>
      <c r="F673" s="3">
        <v>1</v>
      </c>
      <c r="G673" t="s">
        <v>31</v>
      </c>
      <c r="H673" t="s">
        <v>21</v>
      </c>
      <c r="I673" s="3" t="s">
        <v>15</v>
      </c>
      <c r="J673" s="3">
        <v>0</v>
      </c>
      <c r="K673" t="s">
        <v>22</v>
      </c>
      <c r="L673" t="s">
        <v>32</v>
      </c>
      <c r="M673" s="3">
        <v>36</v>
      </c>
      <c r="N673" s="3" t="str" cm="1">
        <f t="array" ref="N673">_xlfn.IFS(M673&gt;59, "Pension Age", M673&gt;44, "Elderly (45+)", M673&gt;29, "Middle Age (30+)", M673&gt;22, "Adult (23+)", M673&gt;15, "Teen/Young Adult (16+)")</f>
        <v>Middle Age (30+)</v>
      </c>
      <c r="O673" s="3" t="s">
        <v>15</v>
      </c>
    </row>
    <row r="674" spans="1:15" x14ac:dyDescent="0.3">
      <c r="A674" s="4">
        <v>21260</v>
      </c>
      <c r="B674" s="3" t="s">
        <v>40</v>
      </c>
      <c r="C674" s="3" t="s">
        <v>41</v>
      </c>
      <c r="D674" s="11">
        <v>40000</v>
      </c>
      <c r="E674" s="9" t="str" cm="1">
        <f t="array" ref="E674">_xlfn.IFS(D674&gt;149000, "Very High", D674&gt;99000, "High", D674&gt;59999, "Average", D674&gt;19999, "Low", D674&gt;0, "Poverty")</f>
        <v>Low</v>
      </c>
      <c r="F674" s="3">
        <v>0</v>
      </c>
      <c r="G674" t="s">
        <v>27</v>
      </c>
      <c r="H674" t="s">
        <v>14</v>
      </c>
      <c r="I674" s="3" t="s">
        <v>15</v>
      </c>
      <c r="J674" s="3">
        <v>2</v>
      </c>
      <c r="K674" t="s">
        <v>23</v>
      </c>
      <c r="L674" t="s">
        <v>32</v>
      </c>
      <c r="M674" s="3">
        <v>30</v>
      </c>
      <c r="N674" s="3" t="str" cm="1">
        <f t="array" ref="N674">_xlfn.IFS(M674&gt;59, "Pension Age", M674&gt;44, "Elderly (45+)", M674&gt;29, "Middle Age (30+)", M674&gt;22, "Adult (23+)", M674&gt;15, "Teen/Young Adult (16+)")</f>
        <v>Middle Age (30+)</v>
      </c>
      <c r="O674" s="3" t="s">
        <v>18</v>
      </c>
    </row>
    <row r="675" spans="1:15" x14ac:dyDescent="0.3">
      <c r="A675" s="4">
        <v>11817</v>
      </c>
      <c r="B675" s="3" t="s">
        <v>40</v>
      </c>
      <c r="C675" s="3" t="s">
        <v>41</v>
      </c>
      <c r="D675" s="11">
        <v>70000</v>
      </c>
      <c r="E675" s="9" t="str" cm="1">
        <f t="array" ref="E675">_xlfn.IFS(D675&gt;149000, "Very High", D675&gt;99000, "High", D675&gt;59999, "Average", D675&gt;19999, "Low", D675&gt;0, "Poverty")</f>
        <v>Average</v>
      </c>
      <c r="F675" s="3">
        <v>4</v>
      </c>
      <c r="G675" t="s">
        <v>31</v>
      </c>
      <c r="H675" t="s">
        <v>21</v>
      </c>
      <c r="I675" s="3" t="s">
        <v>15</v>
      </c>
      <c r="J675" s="3">
        <v>0</v>
      </c>
      <c r="K675" t="s">
        <v>22</v>
      </c>
      <c r="L675" t="s">
        <v>32</v>
      </c>
      <c r="M675" s="3">
        <v>35</v>
      </c>
      <c r="N675" s="3" t="str" cm="1">
        <f t="array" ref="N675">_xlfn.IFS(M675&gt;59, "Pension Age", M675&gt;44, "Elderly (45+)", M675&gt;29, "Middle Age (30+)", M675&gt;22, "Adult (23+)", M675&gt;15, "Teen/Young Adult (16+)")</f>
        <v>Middle Age (30+)</v>
      </c>
      <c r="O675" s="3" t="s">
        <v>15</v>
      </c>
    </row>
    <row r="676" spans="1:15" x14ac:dyDescent="0.3">
      <c r="A676" s="4">
        <v>19223</v>
      </c>
      <c r="B676" s="3" t="s">
        <v>39</v>
      </c>
      <c r="C676" s="3" t="s">
        <v>41</v>
      </c>
      <c r="D676" s="11">
        <v>30000</v>
      </c>
      <c r="E676" s="9" t="str" cm="1">
        <f t="array" ref="E676">_xlfn.IFS(D676&gt;149000, "Very High", D676&gt;99000, "High", D676&gt;59999, "Average", D676&gt;19999, "Low", D676&gt;0, "Poverty")</f>
        <v>Low</v>
      </c>
      <c r="F676" s="3">
        <v>2</v>
      </c>
      <c r="G676" t="s">
        <v>27</v>
      </c>
      <c r="H676" t="s">
        <v>14</v>
      </c>
      <c r="I676" s="3" t="s">
        <v>15</v>
      </c>
      <c r="J676" s="3">
        <v>2</v>
      </c>
      <c r="K676" t="s">
        <v>26</v>
      </c>
      <c r="L676" t="s">
        <v>32</v>
      </c>
      <c r="M676" s="3">
        <v>48</v>
      </c>
      <c r="N676" s="3" t="str" cm="1">
        <f t="array" ref="N676">_xlfn.IFS(M676&gt;59, "Pension Age", M676&gt;44, "Elderly (45+)", M676&gt;29, "Middle Age (30+)", M676&gt;22, "Adult (23+)", M676&gt;15, "Teen/Young Adult (16+)")</f>
        <v>Elderly (45+)</v>
      </c>
      <c r="O676" s="3" t="s">
        <v>18</v>
      </c>
    </row>
    <row r="677" spans="1:15" x14ac:dyDescent="0.3">
      <c r="A677" s="4">
        <v>18517</v>
      </c>
      <c r="B677" s="3" t="s">
        <v>39</v>
      </c>
      <c r="C677" s="3" t="s">
        <v>42</v>
      </c>
      <c r="D677" s="11">
        <v>100000</v>
      </c>
      <c r="E677" s="9" t="str" cm="1">
        <f t="array" ref="E677">_xlfn.IFS(D677&gt;149000, "Very High", D677&gt;99000, "High", D677&gt;59999, "Average", D677&gt;19999, "Low", D677&gt;0, "Poverty")</f>
        <v>High</v>
      </c>
      <c r="F677" s="3">
        <v>3</v>
      </c>
      <c r="G677" t="s">
        <v>13</v>
      </c>
      <c r="H677" t="s">
        <v>28</v>
      </c>
      <c r="I677" s="3" t="s">
        <v>15</v>
      </c>
      <c r="J677" s="3">
        <v>4</v>
      </c>
      <c r="K677" t="s">
        <v>16</v>
      </c>
      <c r="L677" t="s">
        <v>32</v>
      </c>
      <c r="M677" s="3">
        <v>41</v>
      </c>
      <c r="N677" s="3" t="str" cm="1">
        <f t="array" ref="N677">_xlfn.IFS(M677&gt;59, "Pension Age", M677&gt;44, "Elderly (45+)", M677&gt;29, "Middle Age (30+)", M677&gt;22, "Adult (23+)", M677&gt;15, "Teen/Young Adult (16+)")</f>
        <v>Middle Age (30+)</v>
      </c>
      <c r="O677" s="3" t="s">
        <v>18</v>
      </c>
    </row>
    <row r="678" spans="1:15" x14ac:dyDescent="0.3">
      <c r="A678" s="4">
        <v>21717</v>
      </c>
      <c r="B678" s="3" t="s">
        <v>39</v>
      </c>
      <c r="C678" s="3" t="s">
        <v>42</v>
      </c>
      <c r="D678" s="11">
        <v>40000</v>
      </c>
      <c r="E678" s="9" t="str" cm="1">
        <f t="array" ref="E678">_xlfn.IFS(D678&gt;149000, "Very High", D678&gt;99000, "High", D678&gt;59999, "Average", D678&gt;19999, "Low", D678&gt;0, "Poverty")</f>
        <v>Low</v>
      </c>
      <c r="F678" s="3">
        <v>2</v>
      </c>
      <c r="G678" t="s">
        <v>19</v>
      </c>
      <c r="H678" t="s">
        <v>20</v>
      </c>
      <c r="I678" s="3" t="s">
        <v>15</v>
      </c>
      <c r="J678" s="3">
        <v>1</v>
      </c>
      <c r="K678" t="s">
        <v>16</v>
      </c>
      <c r="L678" t="s">
        <v>32</v>
      </c>
      <c r="M678" s="3">
        <v>47</v>
      </c>
      <c r="N678" s="3" t="str" cm="1">
        <f t="array" ref="N678">_xlfn.IFS(M678&gt;59, "Pension Age", M678&gt;44, "Elderly (45+)", M678&gt;29, "Middle Age (30+)", M678&gt;22, "Adult (23+)", M678&gt;15, "Teen/Young Adult (16+)")</f>
        <v>Elderly (45+)</v>
      </c>
      <c r="O678" s="3" t="s">
        <v>18</v>
      </c>
    </row>
    <row r="679" spans="1:15" x14ac:dyDescent="0.3">
      <c r="A679" s="4">
        <v>13760</v>
      </c>
      <c r="B679" s="3" t="s">
        <v>39</v>
      </c>
      <c r="C679" s="3" t="s">
        <v>42</v>
      </c>
      <c r="D679" s="11">
        <v>60000</v>
      </c>
      <c r="E679" s="9" t="str" cm="1">
        <f t="array" ref="E679">_xlfn.IFS(D679&gt;149000, "Very High", D679&gt;99000, "High", D679&gt;59999, "Average", D679&gt;19999, "Low", D679&gt;0, "Poverty")</f>
        <v>Average</v>
      </c>
      <c r="F679" s="3">
        <v>4</v>
      </c>
      <c r="G679" t="s">
        <v>31</v>
      </c>
      <c r="H679" t="s">
        <v>14</v>
      </c>
      <c r="I679" s="3" t="s">
        <v>18</v>
      </c>
      <c r="J679" s="3">
        <v>0</v>
      </c>
      <c r="K679" t="s">
        <v>16</v>
      </c>
      <c r="L679" t="s">
        <v>32</v>
      </c>
      <c r="M679" s="3">
        <v>47</v>
      </c>
      <c r="N679" s="3" t="str" cm="1">
        <f t="array" ref="N679">_xlfn.IFS(M679&gt;59, "Pension Age", M679&gt;44, "Elderly (45+)", M679&gt;29, "Middle Age (30+)", M679&gt;22, "Adult (23+)", M679&gt;15, "Teen/Young Adult (16+)")</f>
        <v>Elderly (45+)</v>
      </c>
      <c r="O679" s="3" t="s">
        <v>18</v>
      </c>
    </row>
    <row r="680" spans="1:15" x14ac:dyDescent="0.3">
      <c r="A680" s="4">
        <v>18145</v>
      </c>
      <c r="B680" s="3" t="s">
        <v>39</v>
      </c>
      <c r="C680" s="3" t="s">
        <v>42</v>
      </c>
      <c r="D680" s="11">
        <v>80000</v>
      </c>
      <c r="E680" s="9" t="str" cm="1">
        <f t="array" ref="E680">_xlfn.IFS(D680&gt;149000, "Very High", D680&gt;99000, "High", D680&gt;59999, "Average", D680&gt;19999, "Low", D680&gt;0, "Poverty")</f>
        <v>Average</v>
      </c>
      <c r="F680" s="3">
        <v>5</v>
      </c>
      <c r="G680" t="s">
        <v>13</v>
      </c>
      <c r="H680" t="s">
        <v>28</v>
      </c>
      <c r="I680" s="3" t="s">
        <v>18</v>
      </c>
      <c r="J680" s="3">
        <v>2</v>
      </c>
      <c r="K680" t="s">
        <v>22</v>
      </c>
      <c r="L680" t="s">
        <v>17</v>
      </c>
      <c r="M680" s="3">
        <v>62</v>
      </c>
      <c r="N680" s="3" t="str" cm="1">
        <f t="array" ref="N680">_xlfn.IFS(M680&gt;59, "Pension Age", M680&gt;44, "Elderly (45+)", M680&gt;29, "Middle Age (30+)", M680&gt;22, "Adult (23+)", M680&gt;15, "Teen/Young Adult (16+)")</f>
        <v>Pension Age</v>
      </c>
      <c r="O680" s="3" t="s">
        <v>18</v>
      </c>
    </row>
    <row r="681" spans="1:15" x14ac:dyDescent="0.3">
      <c r="A681" s="4">
        <v>21770</v>
      </c>
      <c r="B681" s="3" t="s">
        <v>39</v>
      </c>
      <c r="C681" s="3" t="s">
        <v>42</v>
      </c>
      <c r="D681" s="11">
        <v>60000</v>
      </c>
      <c r="E681" s="9" t="str" cm="1">
        <f t="array" ref="E681">_xlfn.IFS(D681&gt;149000, "Very High", D681&gt;99000, "High", D681&gt;59999, "Average", D681&gt;19999, "Low", D681&gt;0, "Poverty")</f>
        <v>Average</v>
      </c>
      <c r="F681" s="3">
        <v>4</v>
      </c>
      <c r="G681" t="s">
        <v>13</v>
      </c>
      <c r="H681" t="s">
        <v>28</v>
      </c>
      <c r="I681" s="3" t="s">
        <v>15</v>
      </c>
      <c r="J681" s="3">
        <v>2</v>
      </c>
      <c r="K681" t="s">
        <v>30</v>
      </c>
      <c r="L681" t="s">
        <v>32</v>
      </c>
      <c r="M681" s="3">
        <v>60</v>
      </c>
      <c r="N681" s="3" t="str" cm="1">
        <f t="array" ref="N681">_xlfn.IFS(M681&gt;59, "Pension Age", M681&gt;44, "Elderly (45+)", M681&gt;29, "Middle Age (30+)", M681&gt;22, "Adult (23+)", M681&gt;15, "Teen/Young Adult (16+)")</f>
        <v>Pension Age</v>
      </c>
      <c r="O681" s="3" t="s">
        <v>18</v>
      </c>
    </row>
    <row r="682" spans="1:15" x14ac:dyDescent="0.3">
      <c r="A682" s="4">
        <v>11165</v>
      </c>
      <c r="B682" s="3" t="s">
        <v>39</v>
      </c>
      <c r="C682" s="3" t="s">
        <v>41</v>
      </c>
      <c r="D682" s="11">
        <v>60000</v>
      </c>
      <c r="E682" s="9" t="str" cm="1">
        <f t="array" ref="E682">_xlfn.IFS(D682&gt;149000, "Very High", D682&gt;99000, "High", D682&gt;59999, "Average", D682&gt;19999, "Low", D682&gt;0, "Poverty")</f>
        <v>Average</v>
      </c>
      <c r="F682" s="3">
        <v>0</v>
      </c>
      <c r="G682" t="s">
        <v>19</v>
      </c>
      <c r="H682" t="s">
        <v>14</v>
      </c>
      <c r="I682" s="3" t="s">
        <v>18</v>
      </c>
      <c r="J682" s="3">
        <v>1</v>
      </c>
      <c r="K682" t="s">
        <v>26</v>
      </c>
      <c r="L682" t="s">
        <v>32</v>
      </c>
      <c r="M682" s="3">
        <v>33</v>
      </c>
      <c r="N682" s="3" t="str" cm="1">
        <f t="array" ref="N682">_xlfn.IFS(M682&gt;59, "Pension Age", M682&gt;44, "Elderly (45+)", M682&gt;29, "Middle Age (30+)", M682&gt;22, "Adult (23+)", M682&gt;15, "Teen/Young Adult (16+)")</f>
        <v>Middle Age (30+)</v>
      </c>
      <c r="O682" s="3" t="s">
        <v>18</v>
      </c>
    </row>
    <row r="683" spans="1:15" x14ac:dyDescent="0.3">
      <c r="A683" s="4">
        <v>16377</v>
      </c>
      <c r="B683" s="3" t="s">
        <v>40</v>
      </c>
      <c r="C683" s="3" t="s">
        <v>41</v>
      </c>
      <c r="D683" s="11">
        <v>80000</v>
      </c>
      <c r="E683" s="9" t="str" cm="1">
        <f t="array" ref="E683">_xlfn.IFS(D683&gt;149000, "Very High", D683&gt;99000, "High", D683&gt;59999, "Average", D683&gt;19999, "Low", D683&gt;0, "Poverty")</f>
        <v>Average</v>
      </c>
      <c r="F683" s="3">
        <v>4</v>
      </c>
      <c r="G683" t="s">
        <v>31</v>
      </c>
      <c r="H683" t="s">
        <v>14</v>
      </c>
      <c r="I683" s="3" t="s">
        <v>18</v>
      </c>
      <c r="J683" s="3">
        <v>0</v>
      </c>
      <c r="K683" t="s">
        <v>16</v>
      </c>
      <c r="L683" t="s">
        <v>32</v>
      </c>
      <c r="M683" s="3">
        <v>47</v>
      </c>
      <c r="N683" s="3" t="str" cm="1">
        <f t="array" ref="N683">_xlfn.IFS(M683&gt;59, "Pension Age", M683&gt;44, "Elderly (45+)", M683&gt;29, "Middle Age (30+)", M683&gt;22, "Adult (23+)", M683&gt;15, "Teen/Young Adult (16+)")</f>
        <v>Elderly (45+)</v>
      </c>
      <c r="O683" s="3" t="s">
        <v>18</v>
      </c>
    </row>
    <row r="684" spans="1:15" x14ac:dyDescent="0.3">
      <c r="A684" s="4">
        <v>26248</v>
      </c>
      <c r="B684" s="3" t="s">
        <v>39</v>
      </c>
      <c r="C684" s="3" t="s">
        <v>42</v>
      </c>
      <c r="D684" s="11">
        <v>20000</v>
      </c>
      <c r="E684" s="9" t="str" cm="1">
        <f t="array" ref="E684">_xlfn.IFS(D684&gt;149000, "Very High", D684&gt;99000, "High", D684&gt;59999, "Average", D684&gt;19999, "Low", D684&gt;0, "Poverty")</f>
        <v>Low</v>
      </c>
      <c r="F684" s="3">
        <v>3</v>
      </c>
      <c r="G684" t="s">
        <v>29</v>
      </c>
      <c r="H684" t="s">
        <v>20</v>
      </c>
      <c r="I684" s="3" t="s">
        <v>18</v>
      </c>
      <c r="J684" s="3">
        <v>2</v>
      </c>
      <c r="K684" t="s">
        <v>16</v>
      </c>
      <c r="L684" t="s">
        <v>32</v>
      </c>
      <c r="M684" s="3">
        <v>52</v>
      </c>
      <c r="N684" s="3" t="str" cm="1">
        <f t="array" ref="N684">_xlfn.IFS(M684&gt;59, "Pension Age", M684&gt;44, "Elderly (45+)", M684&gt;29, "Middle Age (30+)", M684&gt;22, "Adult (23+)", M684&gt;15, "Teen/Young Adult (16+)")</f>
        <v>Elderly (45+)</v>
      </c>
      <c r="O684" s="3" t="s">
        <v>18</v>
      </c>
    </row>
    <row r="685" spans="1:15" x14ac:dyDescent="0.3">
      <c r="A685" s="4">
        <v>23461</v>
      </c>
      <c r="B685" s="3" t="s">
        <v>39</v>
      </c>
      <c r="C685" s="3" t="s">
        <v>41</v>
      </c>
      <c r="D685" s="11">
        <v>90000</v>
      </c>
      <c r="E685" s="9" t="str" cm="1">
        <f t="array" ref="E685">_xlfn.IFS(D685&gt;149000, "Very High", D685&gt;99000, "High", D685&gt;59999, "Average", D685&gt;19999, "Low", D685&gt;0, "Poverty")</f>
        <v>Average</v>
      </c>
      <c r="F685" s="3">
        <v>5</v>
      </c>
      <c r="G685" t="s">
        <v>19</v>
      </c>
      <c r="H685" t="s">
        <v>21</v>
      </c>
      <c r="I685" s="3" t="s">
        <v>15</v>
      </c>
      <c r="J685" s="3">
        <v>3</v>
      </c>
      <c r="K685" t="s">
        <v>22</v>
      </c>
      <c r="L685" t="s">
        <v>32</v>
      </c>
      <c r="M685" s="3">
        <v>40</v>
      </c>
      <c r="N685" s="3" t="str" cm="1">
        <f t="array" ref="N685">_xlfn.IFS(M685&gt;59, "Pension Age", M685&gt;44, "Elderly (45+)", M685&gt;29, "Middle Age (30+)", M685&gt;22, "Adult (23+)", M685&gt;15, "Teen/Young Adult (16+)")</f>
        <v>Middle Age (30+)</v>
      </c>
      <c r="O685" s="3" t="s">
        <v>18</v>
      </c>
    </row>
    <row r="686" spans="1:15" x14ac:dyDescent="0.3">
      <c r="A686" s="4">
        <v>29133</v>
      </c>
      <c r="B686" s="3" t="s">
        <v>40</v>
      </c>
      <c r="C686" s="3" t="s">
        <v>41</v>
      </c>
      <c r="D686" s="11">
        <v>60000</v>
      </c>
      <c r="E686" s="9" t="str" cm="1">
        <f t="array" ref="E686">_xlfn.IFS(D686&gt;149000, "Very High", D686&gt;99000, "High", D686&gt;59999, "Average", D686&gt;19999, "Low", D686&gt;0, "Poverty")</f>
        <v>Average</v>
      </c>
      <c r="F686" s="3">
        <v>4</v>
      </c>
      <c r="G686" t="s">
        <v>13</v>
      </c>
      <c r="H686" t="s">
        <v>14</v>
      </c>
      <c r="I686" s="3" t="s">
        <v>18</v>
      </c>
      <c r="J686" s="3">
        <v>2</v>
      </c>
      <c r="K686" t="s">
        <v>16</v>
      </c>
      <c r="L686" t="s">
        <v>32</v>
      </c>
      <c r="M686" s="3">
        <v>42</v>
      </c>
      <c r="N686" s="3" t="str" cm="1">
        <f t="array" ref="N686">_xlfn.IFS(M686&gt;59, "Pension Age", M686&gt;44, "Elderly (45+)", M686&gt;29, "Middle Age (30+)", M686&gt;22, "Adult (23+)", M686&gt;15, "Teen/Young Adult (16+)")</f>
        <v>Middle Age (30+)</v>
      </c>
      <c r="O686" s="3" t="s">
        <v>18</v>
      </c>
    </row>
    <row r="687" spans="1:15" x14ac:dyDescent="0.3">
      <c r="A687" s="4">
        <v>27673</v>
      </c>
      <c r="B687" s="3" t="s">
        <v>40</v>
      </c>
      <c r="C687" s="3" t="s">
        <v>41</v>
      </c>
      <c r="D687" s="11">
        <v>60000</v>
      </c>
      <c r="E687" s="9" t="str" cm="1">
        <f t="array" ref="E687">_xlfn.IFS(D687&gt;149000, "Very High", D687&gt;99000, "High", D687&gt;59999, "Average", D687&gt;19999, "Low", D687&gt;0, "Poverty")</f>
        <v>Average</v>
      </c>
      <c r="F687" s="3">
        <v>3</v>
      </c>
      <c r="G687" t="s">
        <v>31</v>
      </c>
      <c r="H687" t="s">
        <v>28</v>
      </c>
      <c r="I687" s="3" t="s">
        <v>15</v>
      </c>
      <c r="J687" s="3">
        <v>2</v>
      </c>
      <c r="K687" t="s">
        <v>23</v>
      </c>
      <c r="L687" t="s">
        <v>32</v>
      </c>
      <c r="M687" s="3">
        <v>53</v>
      </c>
      <c r="N687" s="3" t="str" cm="1">
        <f t="array" ref="N687">_xlfn.IFS(M687&gt;59, "Pension Age", M687&gt;44, "Elderly (45+)", M687&gt;29, "Middle Age (30+)", M687&gt;22, "Adult (23+)", M687&gt;15, "Teen/Young Adult (16+)")</f>
        <v>Elderly (45+)</v>
      </c>
      <c r="O687" s="3" t="s">
        <v>15</v>
      </c>
    </row>
    <row r="688" spans="1:15" x14ac:dyDescent="0.3">
      <c r="A688" s="4">
        <v>12774</v>
      </c>
      <c r="B688" s="3" t="s">
        <v>39</v>
      </c>
      <c r="C688" s="3" t="s">
        <v>41</v>
      </c>
      <c r="D688" s="11">
        <v>40000</v>
      </c>
      <c r="E688" s="9" t="str" cm="1">
        <f t="array" ref="E688">_xlfn.IFS(D688&gt;149000, "Very High", D688&gt;99000, "High", D688&gt;59999, "Average", D688&gt;19999, "Low", D688&gt;0, "Poverty")</f>
        <v>Low</v>
      </c>
      <c r="F688" s="3">
        <v>1</v>
      </c>
      <c r="G688" t="s">
        <v>19</v>
      </c>
      <c r="H688" t="s">
        <v>20</v>
      </c>
      <c r="I688" s="3" t="s">
        <v>15</v>
      </c>
      <c r="J688" s="3">
        <v>1</v>
      </c>
      <c r="K688" t="s">
        <v>26</v>
      </c>
      <c r="L688" t="s">
        <v>32</v>
      </c>
      <c r="M688" s="3">
        <v>51</v>
      </c>
      <c r="N688" s="3" t="str" cm="1">
        <f t="array" ref="N688">_xlfn.IFS(M688&gt;59, "Pension Age", M688&gt;44, "Elderly (45+)", M688&gt;29, "Middle Age (30+)", M688&gt;22, "Adult (23+)", M688&gt;15, "Teen/Young Adult (16+)")</f>
        <v>Elderly (45+)</v>
      </c>
      <c r="O688" s="3" t="s">
        <v>15</v>
      </c>
    </row>
    <row r="689" spans="1:15" x14ac:dyDescent="0.3">
      <c r="A689" s="4">
        <v>18910</v>
      </c>
      <c r="B689" s="3" t="s">
        <v>40</v>
      </c>
      <c r="C689" s="3" t="s">
        <v>42</v>
      </c>
      <c r="D689" s="11">
        <v>30000</v>
      </c>
      <c r="E689" s="9" t="str" cm="1">
        <f t="array" ref="E689">_xlfn.IFS(D689&gt;149000, "Very High", D689&gt;99000, "High", D689&gt;59999, "Average", D689&gt;19999, "Low", D689&gt;0, "Poverty")</f>
        <v>Low</v>
      </c>
      <c r="F689" s="3">
        <v>0</v>
      </c>
      <c r="G689" t="s">
        <v>19</v>
      </c>
      <c r="H689" t="s">
        <v>14</v>
      </c>
      <c r="I689" s="3" t="s">
        <v>15</v>
      </c>
      <c r="J689" s="3">
        <v>2</v>
      </c>
      <c r="K689" t="s">
        <v>23</v>
      </c>
      <c r="L689" t="s">
        <v>32</v>
      </c>
      <c r="M689" s="3">
        <v>30</v>
      </c>
      <c r="N689" s="3" t="str" cm="1">
        <f t="array" ref="N689">_xlfn.IFS(M689&gt;59, "Pension Age", M689&gt;44, "Elderly (45+)", M689&gt;29, "Middle Age (30+)", M689&gt;22, "Adult (23+)", M689&gt;15, "Teen/Young Adult (16+)")</f>
        <v>Middle Age (30+)</v>
      </c>
      <c r="O689" s="3" t="s">
        <v>18</v>
      </c>
    </row>
    <row r="690" spans="1:15" x14ac:dyDescent="0.3">
      <c r="A690" s="4">
        <v>11699</v>
      </c>
      <c r="B690" s="3" t="s">
        <v>40</v>
      </c>
      <c r="C690" s="3" t="s">
        <v>42</v>
      </c>
      <c r="D690" s="11">
        <v>60000</v>
      </c>
      <c r="E690" s="9" t="str" cm="1">
        <f t="array" ref="E690">_xlfn.IFS(D690&gt;149000, "Very High", D690&gt;99000, "High", D690&gt;59999, "Average", D690&gt;19999, "Low", D690&gt;0, "Poverty")</f>
        <v>Average</v>
      </c>
      <c r="F690" s="3">
        <v>0</v>
      </c>
      <c r="G690" t="s">
        <v>13</v>
      </c>
      <c r="H690" t="s">
        <v>14</v>
      </c>
      <c r="I690" s="3" t="s">
        <v>18</v>
      </c>
      <c r="J690" s="3">
        <v>2</v>
      </c>
      <c r="K690" t="s">
        <v>16</v>
      </c>
      <c r="L690" t="s">
        <v>32</v>
      </c>
      <c r="M690" s="3">
        <v>30</v>
      </c>
      <c r="N690" s="3" t="str" cm="1">
        <f t="array" ref="N690">_xlfn.IFS(M690&gt;59, "Pension Age", M690&gt;44, "Elderly (45+)", M690&gt;29, "Middle Age (30+)", M690&gt;22, "Adult (23+)", M690&gt;15, "Teen/Young Adult (16+)")</f>
        <v>Middle Age (30+)</v>
      </c>
      <c r="O690" s="3" t="s">
        <v>18</v>
      </c>
    </row>
    <row r="691" spans="1:15" x14ac:dyDescent="0.3">
      <c r="A691" s="4">
        <v>16725</v>
      </c>
      <c r="B691" s="3" t="s">
        <v>39</v>
      </c>
      <c r="C691" s="3" t="s">
        <v>42</v>
      </c>
      <c r="D691" s="11">
        <v>30000</v>
      </c>
      <c r="E691" s="9" t="str" cm="1">
        <f t="array" ref="E691">_xlfn.IFS(D691&gt;149000, "Very High", D691&gt;99000, "High", D691&gt;59999, "Average", D691&gt;19999, "Low", D691&gt;0, "Poverty")</f>
        <v>Low</v>
      </c>
      <c r="F691" s="3">
        <v>0</v>
      </c>
      <c r="G691" t="s">
        <v>27</v>
      </c>
      <c r="H691" t="s">
        <v>14</v>
      </c>
      <c r="I691" s="3" t="s">
        <v>15</v>
      </c>
      <c r="J691" s="3">
        <v>2</v>
      </c>
      <c r="K691" t="s">
        <v>23</v>
      </c>
      <c r="L691" t="s">
        <v>32</v>
      </c>
      <c r="M691" s="3">
        <v>26</v>
      </c>
      <c r="N691" s="3" t="str" cm="1">
        <f t="array" ref="N691">_xlfn.IFS(M691&gt;59, "Pension Age", M691&gt;44, "Elderly (45+)", M691&gt;29, "Middle Age (30+)", M691&gt;22, "Adult (23+)", M691&gt;15, "Teen/Young Adult (16+)")</f>
        <v>Adult (23+)</v>
      </c>
      <c r="O691" s="3" t="s">
        <v>18</v>
      </c>
    </row>
    <row r="692" spans="1:15" x14ac:dyDescent="0.3">
      <c r="A692" s="4">
        <v>28269</v>
      </c>
      <c r="B692" s="3" t="s">
        <v>40</v>
      </c>
      <c r="C692" s="3" t="s">
        <v>41</v>
      </c>
      <c r="D692" s="11">
        <v>130000</v>
      </c>
      <c r="E692" s="9" t="str" cm="1">
        <f t="array" ref="E692">_xlfn.IFS(D692&gt;149000, "Very High", D692&gt;99000, "High", D692&gt;59999, "Average", D692&gt;19999, "Low", D692&gt;0, "Poverty")</f>
        <v>High</v>
      </c>
      <c r="F692" s="3">
        <v>1</v>
      </c>
      <c r="G692" t="s">
        <v>13</v>
      </c>
      <c r="H692" t="s">
        <v>28</v>
      </c>
      <c r="I692" s="3" t="s">
        <v>18</v>
      </c>
      <c r="J692" s="3">
        <v>1</v>
      </c>
      <c r="K692" t="s">
        <v>22</v>
      </c>
      <c r="L692" t="s">
        <v>32</v>
      </c>
      <c r="M692" s="3">
        <v>45</v>
      </c>
      <c r="N692" s="3" t="str" cm="1">
        <f t="array" ref="N692">_xlfn.IFS(M692&gt;59, "Pension Age", M692&gt;44, "Elderly (45+)", M692&gt;29, "Middle Age (30+)", M692&gt;22, "Adult (23+)", M692&gt;15, "Teen/Young Adult (16+)")</f>
        <v>Elderly (45+)</v>
      </c>
      <c r="O692" s="3" t="s">
        <v>18</v>
      </c>
    </row>
    <row r="693" spans="1:15" x14ac:dyDescent="0.3">
      <c r="A693" s="4">
        <v>23144</v>
      </c>
      <c r="B693" s="3" t="s">
        <v>39</v>
      </c>
      <c r="C693" s="3" t="s">
        <v>42</v>
      </c>
      <c r="D693" s="11">
        <v>50000</v>
      </c>
      <c r="E693" s="9" t="str" cm="1">
        <f t="array" ref="E693">_xlfn.IFS(D693&gt;149000, "Very High", D693&gt;99000, "High", D693&gt;59999, "Average", D693&gt;19999, "Low", D693&gt;0, "Poverty")</f>
        <v>Low</v>
      </c>
      <c r="F693" s="3">
        <v>1</v>
      </c>
      <c r="G693" t="s">
        <v>13</v>
      </c>
      <c r="H693" t="s">
        <v>14</v>
      </c>
      <c r="I693" s="3" t="s">
        <v>15</v>
      </c>
      <c r="J693" s="3">
        <v>0</v>
      </c>
      <c r="K693" t="s">
        <v>16</v>
      </c>
      <c r="L693" t="s">
        <v>32</v>
      </c>
      <c r="M693" s="3">
        <v>34</v>
      </c>
      <c r="N693" s="3" t="str" cm="1">
        <f t="array" ref="N693">_xlfn.IFS(M693&gt;59, "Pension Age", M693&gt;44, "Elderly (45+)", M693&gt;29, "Middle Age (30+)", M693&gt;22, "Adult (23+)", M693&gt;15, "Teen/Young Adult (16+)")</f>
        <v>Middle Age (30+)</v>
      </c>
      <c r="O693" s="3" t="s">
        <v>15</v>
      </c>
    </row>
    <row r="694" spans="1:15" x14ac:dyDescent="0.3">
      <c r="A694" s="4">
        <v>23376</v>
      </c>
      <c r="B694" s="3" t="s">
        <v>39</v>
      </c>
      <c r="C694" s="3" t="s">
        <v>42</v>
      </c>
      <c r="D694" s="11">
        <v>70000</v>
      </c>
      <c r="E694" s="9" t="str" cm="1">
        <f t="array" ref="E694">_xlfn.IFS(D694&gt;149000, "Very High", D694&gt;99000, "High", D694&gt;59999, "Average", D694&gt;19999, "Low", D694&gt;0, "Poverty")</f>
        <v>Average</v>
      </c>
      <c r="F694" s="3">
        <v>1</v>
      </c>
      <c r="G694" t="s">
        <v>13</v>
      </c>
      <c r="H694" t="s">
        <v>21</v>
      </c>
      <c r="I694" s="3" t="s">
        <v>15</v>
      </c>
      <c r="J694" s="3">
        <v>1</v>
      </c>
      <c r="K694" t="s">
        <v>22</v>
      </c>
      <c r="L694" t="s">
        <v>32</v>
      </c>
      <c r="M694" s="3">
        <v>44</v>
      </c>
      <c r="N694" s="3" t="str" cm="1">
        <f t="array" ref="N694">_xlfn.IFS(M694&gt;59, "Pension Age", M694&gt;44, "Elderly (45+)", M694&gt;29, "Middle Age (30+)", M694&gt;22, "Adult (23+)", M694&gt;15, "Teen/Young Adult (16+)")</f>
        <v>Middle Age (30+)</v>
      </c>
      <c r="O694" s="3" t="s">
        <v>15</v>
      </c>
    </row>
    <row r="695" spans="1:15" x14ac:dyDescent="0.3">
      <c r="A695" s="4">
        <v>25970</v>
      </c>
      <c r="B695" s="3" t="s">
        <v>40</v>
      </c>
      <c r="C695" s="3" t="s">
        <v>41</v>
      </c>
      <c r="D695" s="11">
        <v>60000</v>
      </c>
      <c r="E695" s="9" t="str" cm="1">
        <f t="array" ref="E695">_xlfn.IFS(D695&gt;149000, "Very High", D695&gt;99000, "High", D695&gt;59999, "Average", D695&gt;19999, "Low", D695&gt;0, "Poverty")</f>
        <v>Average</v>
      </c>
      <c r="F695" s="3">
        <v>4</v>
      </c>
      <c r="G695" t="s">
        <v>13</v>
      </c>
      <c r="H695" t="s">
        <v>14</v>
      </c>
      <c r="I695" s="3" t="s">
        <v>18</v>
      </c>
      <c r="J695" s="3">
        <v>2</v>
      </c>
      <c r="K695" t="s">
        <v>16</v>
      </c>
      <c r="L695" t="s">
        <v>32</v>
      </c>
      <c r="M695" s="3">
        <v>41</v>
      </c>
      <c r="N695" s="3" t="str" cm="1">
        <f t="array" ref="N695">_xlfn.IFS(M695&gt;59, "Pension Age", M695&gt;44, "Elderly (45+)", M695&gt;29, "Middle Age (30+)", M695&gt;22, "Adult (23+)", M695&gt;15, "Teen/Young Adult (16+)")</f>
        <v>Middle Age (30+)</v>
      </c>
      <c r="O695" s="3" t="s">
        <v>15</v>
      </c>
    </row>
    <row r="696" spans="1:15" x14ac:dyDescent="0.3">
      <c r="A696" s="4">
        <v>28068</v>
      </c>
      <c r="B696" s="3" t="s">
        <v>40</v>
      </c>
      <c r="C696" s="3" t="s">
        <v>41</v>
      </c>
      <c r="D696" s="11">
        <v>80000</v>
      </c>
      <c r="E696" s="9" t="str" cm="1">
        <f t="array" ref="E696">_xlfn.IFS(D696&gt;149000, "Very High", D696&gt;99000, "High", D696&gt;59999, "Average", D696&gt;19999, "Low", D696&gt;0, "Poverty")</f>
        <v>Average</v>
      </c>
      <c r="F696" s="3">
        <v>3</v>
      </c>
      <c r="G696" t="s">
        <v>31</v>
      </c>
      <c r="H696" t="s">
        <v>21</v>
      </c>
      <c r="I696" s="3" t="s">
        <v>18</v>
      </c>
      <c r="J696" s="3">
        <v>0</v>
      </c>
      <c r="K696" t="s">
        <v>16</v>
      </c>
      <c r="L696" t="s">
        <v>32</v>
      </c>
      <c r="M696" s="3">
        <v>36</v>
      </c>
      <c r="N696" s="3" t="str" cm="1">
        <f t="array" ref="N696">_xlfn.IFS(M696&gt;59, "Pension Age", M696&gt;44, "Elderly (45+)", M696&gt;29, "Middle Age (30+)", M696&gt;22, "Adult (23+)", M696&gt;15, "Teen/Young Adult (16+)")</f>
        <v>Middle Age (30+)</v>
      </c>
      <c r="O696" s="3" t="s">
        <v>15</v>
      </c>
    </row>
    <row r="697" spans="1:15" x14ac:dyDescent="0.3">
      <c r="A697" s="4">
        <v>18390</v>
      </c>
      <c r="B697" s="3" t="s">
        <v>39</v>
      </c>
      <c r="C697" s="3" t="s">
        <v>42</v>
      </c>
      <c r="D697" s="11">
        <v>80000</v>
      </c>
      <c r="E697" s="9" t="str" cm="1">
        <f t="array" ref="E697">_xlfn.IFS(D697&gt;149000, "Very High", D697&gt;99000, "High", D697&gt;59999, "Average", D697&gt;19999, "Low", D697&gt;0, "Poverty")</f>
        <v>Average</v>
      </c>
      <c r="F697" s="3">
        <v>5</v>
      </c>
      <c r="G697" t="s">
        <v>19</v>
      </c>
      <c r="H697" t="s">
        <v>21</v>
      </c>
      <c r="I697" s="3" t="s">
        <v>15</v>
      </c>
      <c r="J697" s="3">
        <v>2</v>
      </c>
      <c r="K697" t="s">
        <v>16</v>
      </c>
      <c r="L697" t="s">
        <v>32</v>
      </c>
      <c r="M697" s="3">
        <v>44</v>
      </c>
      <c r="N697" s="3" t="str" cm="1">
        <f t="array" ref="N697">_xlfn.IFS(M697&gt;59, "Pension Age", M697&gt;44, "Elderly (45+)", M697&gt;29, "Middle Age (30+)", M697&gt;22, "Adult (23+)", M697&gt;15, "Teen/Young Adult (16+)")</f>
        <v>Middle Age (30+)</v>
      </c>
      <c r="O697" s="3" t="s">
        <v>18</v>
      </c>
    </row>
    <row r="698" spans="1:15" x14ac:dyDescent="0.3">
      <c r="A698" s="4">
        <v>29112</v>
      </c>
      <c r="B698" s="3" t="s">
        <v>40</v>
      </c>
      <c r="C698" s="3" t="s">
        <v>42</v>
      </c>
      <c r="D698" s="11">
        <v>60000</v>
      </c>
      <c r="E698" s="9" t="str" cm="1">
        <f t="array" ref="E698">_xlfn.IFS(D698&gt;149000, "Very High", D698&gt;99000, "High", D698&gt;59999, "Average", D698&gt;19999, "Low", D698&gt;0, "Poverty")</f>
        <v>Average</v>
      </c>
      <c r="F698" s="3">
        <v>0</v>
      </c>
      <c r="G698" t="s">
        <v>19</v>
      </c>
      <c r="H698" t="s">
        <v>21</v>
      </c>
      <c r="I698" s="3" t="s">
        <v>18</v>
      </c>
      <c r="J698" s="3">
        <v>2</v>
      </c>
      <c r="K698" t="s">
        <v>26</v>
      </c>
      <c r="L698" t="s">
        <v>32</v>
      </c>
      <c r="M698" s="3">
        <v>30</v>
      </c>
      <c r="N698" s="3" t="str" cm="1">
        <f t="array" ref="N698">_xlfn.IFS(M698&gt;59, "Pension Age", M698&gt;44, "Elderly (45+)", M698&gt;29, "Middle Age (30+)", M698&gt;22, "Adult (23+)", M698&gt;15, "Teen/Young Adult (16+)")</f>
        <v>Middle Age (30+)</v>
      </c>
      <c r="O698" s="3" t="s">
        <v>18</v>
      </c>
    </row>
    <row r="699" spans="1:15" x14ac:dyDescent="0.3">
      <c r="A699" s="4">
        <v>14090</v>
      </c>
      <c r="B699" s="3" t="s">
        <v>39</v>
      </c>
      <c r="C699" s="3" t="s">
        <v>41</v>
      </c>
      <c r="D699" s="11">
        <v>30000</v>
      </c>
      <c r="E699" s="9" t="str" cm="1">
        <f t="array" ref="E699">_xlfn.IFS(D699&gt;149000, "Very High", D699&gt;99000, "High", D699&gt;59999, "Average", D699&gt;19999, "Low", D699&gt;0, "Poverty")</f>
        <v>Low</v>
      </c>
      <c r="F699" s="3">
        <v>0</v>
      </c>
      <c r="G699" t="s">
        <v>29</v>
      </c>
      <c r="H699" t="s">
        <v>20</v>
      </c>
      <c r="I699" s="3" t="s">
        <v>18</v>
      </c>
      <c r="J699" s="3">
        <v>2</v>
      </c>
      <c r="K699" t="s">
        <v>16</v>
      </c>
      <c r="L699" t="s">
        <v>32</v>
      </c>
      <c r="M699" s="3">
        <v>28</v>
      </c>
      <c r="N699" s="3" t="str" cm="1">
        <f t="array" ref="N699">_xlfn.IFS(M699&gt;59, "Pension Age", M699&gt;44, "Elderly (45+)", M699&gt;29, "Middle Age (30+)", M699&gt;22, "Adult (23+)", M699&gt;15, "Teen/Young Adult (16+)")</f>
        <v>Adult (23+)</v>
      </c>
      <c r="O699" s="3" t="s">
        <v>18</v>
      </c>
    </row>
    <row r="700" spans="1:15" x14ac:dyDescent="0.3">
      <c r="A700" s="4">
        <v>27040</v>
      </c>
      <c r="B700" s="3" t="s">
        <v>39</v>
      </c>
      <c r="C700" s="3" t="s">
        <v>42</v>
      </c>
      <c r="D700" s="11">
        <v>20000</v>
      </c>
      <c r="E700" s="9" t="str" cm="1">
        <f t="array" ref="E700">_xlfn.IFS(D700&gt;149000, "Very High", D700&gt;99000, "High", D700&gt;59999, "Average", D700&gt;19999, "Low", D700&gt;0, "Poverty")</f>
        <v>Low</v>
      </c>
      <c r="F700" s="3">
        <v>2</v>
      </c>
      <c r="G700" t="s">
        <v>29</v>
      </c>
      <c r="H700" t="s">
        <v>20</v>
      </c>
      <c r="I700" s="3" t="s">
        <v>15</v>
      </c>
      <c r="J700" s="3">
        <v>2</v>
      </c>
      <c r="K700" t="s">
        <v>26</v>
      </c>
      <c r="L700" t="s">
        <v>32</v>
      </c>
      <c r="M700" s="3">
        <v>49</v>
      </c>
      <c r="N700" s="3" t="str" cm="1">
        <f t="array" ref="N700">_xlfn.IFS(M700&gt;59, "Pension Age", M700&gt;44, "Elderly (45+)", M700&gt;29, "Middle Age (30+)", M700&gt;22, "Adult (23+)", M700&gt;15, "Teen/Young Adult (16+)")</f>
        <v>Elderly (45+)</v>
      </c>
      <c r="O700" s="3" t="s">
        <v>18</v>
      </c>
    </row>
    <row r="701" spans="1:15" x14ac:dyDescent="0.3">
      <c r="A701" s="4">
        <v>23479</v>
      </c>
      <c r="B701" s="3" t="s">
        <v>40</v>
      </c>
      <c r="C701" s="3" t="s">
        <v>42</v>
      </c>
      <c r="D701" s="11">
        <v>90000</v>
      </c>
      <c r="E701" s="9" t="str" cm="1">
        <f t="array" ref="E701">_xlfn.IFS(D701&gt;149000, "Very High", D701&gt;99000, "High", D701&gt;59999, "Average", D701&gt;19999, "Low", D701&gt;0, "Poverty")</f>
        <v>Average</v>
      </c>
      <c r="F701" s="3">
        <v>0</v>
      </c>
      <c r="G701" t="s">
        <v>19</v>
      </c>
      <c r="H701" t="s">
        <v>21</v>
      </c>
      <c r="I701" s="3" t="s">
        <v>18</v>
      </c>
      <c r="J701" s="3">
        <v>2</v>
      </c>
      <c r="K701" t="s">
        <v>16</v>
      </c>
      <c r="L701" t="s">
        <v>32</v>
      </c>
      <c r="M701" s="3">
        <v>43</v>
      </c>
      <c r="N701" s="3" t="str" cm="1">
        <f t="array" ref="N701">_xlfn.IFS(M701&gt;59, "Pension Age", M701&gt;44, "Elderly (45+)", M701&gt;29, "Middle Age (30+)", M701&gt;22, "Adult (23+)", M701&gt;15, "Teen/Young Adult (16+)")</f>
        <v>Middle Age (30+)</v>
      </c>
      <c r="O701" s="3" t="s">
        <v>15</v>
      </c>
    </row>
    <row r="702" spans="1:15" x14ac:dyDescent="0.3">
      <c r="A702" s="4">
        <v>16795</v>
      </c>
      <c r="B702" s="3" t="s">
        <v>39</v>
      </c>
      <c r="C702" s="3" t="s">
        <v>41</v>
      </c>
      <c r="D702" s="11">
        <v>70000</v>
      </c>
      <c r="E702" s="9" t="str" cm="1">
        <f t="array" ref="E702">_xlfn.IFS(D702&gt;149000, "Very High", D702&gt;99000, "High", D702&gt;59999, "Average", D702&gt;19999, "Low", D702&gt;0, "Poverty")</f>
        <v>Average</v>
      </c>
      <c r="F702" s="3">
        <v>4</v>
      </c>
      <c r="G702" t="s">
        <v>13</v>
      </c>
      <c r="H702" t="s">
        <v>28</v>
      </c>
      <c r="I702" s="3" t="s">
        <v>15</v>
      </c>
      <c r="J702" s="3">
        <v>1</v>
      </c>
      <c r="K702" t="s">
        <v>26</v>
      </c>
      <c r="L702" t="s">
        <v>32</v>
      </c>
      <c r="M702" s="3">
        <v>59</v>
      </c>
      <c r="N702" s="3" t="str" cm="1">
        <f t="array" ref="N702">_xlfn.IFS(M702&gt;59, "Pension Age", M702&gt;44, "Elderly (45+)", M702&gt;29, "Middle Age (30+)", M702&gt;22, "Adult (23+)", M702&gt;15, "Teen/Young Adult (16+)")</f>
        <v>Elderly (45+)</v>
      </c>
      <c r="O702" s="3" t="s">
        <v>18</v>
      </c>
    </row>
    <row r="703" spans="1:15" x14ac:dyDescent="0.3">
      <c r="A703" s="4">
        <v>22014</v>
      </c>
      <c r="B703" s="3" t="s">
        <v>40</v>
      </c>
      <c r="C703" s="3" t="s">
        <v>42</v>
      </c>
      <c r="D703" s="11">
        <v>30000</v>
      </c>
      <c r="E703" s="9" t="str" cm="1">
        <f t="array" ref="E703">_xlfn.IFS(D703&gt;149000, "Very High", D703&gt;99000, "High", D703&gt;59999, "Average", D703&gt;19999, "Low", D703&gt;0, "Poverty")</f>
        <v>Low</v>
      </c>
      <c r="F703" s="3">
        <v>0</v>
      </c>
      <c r="G703" t="s">
        <v>27</v>
      </c>
      <c r="H703" t="s">
        <v>14</v>
      </c>
      <c r="I703" s="3" t="s">
        <v>15</v>
      </c>
      <c r="J703" s="3">
        <v>2</v>
      </c>
      <c r="K703" t="s">
        <v>23</v>
      </c>
      <c r="L703" t="s">
        <v>32</v>
      </c>
      <c r="M703" s="3">
        <v>26</v>
      </c>
      <c r="N703" s="3" t="str" cm="1">
        <f t="array" ref="N703">_xlfn.IFS(M703&gt;59, "Pension Age", M703&gt;44, "Elderly (45+)", M703&gt;29, "Middle Age (30+)", M703&gt;22, "Adult (23+)", M703&gt;15, "Teen/Young Adult (16+)")</f>
        <v>Adult (23+)</v>
      </c>
      <c r="O703" s="3" t="s">
        <v>18</v>
      </c>
    </row>
    <row r="704" spans="1:15" x14ac:dyDescent="0.3">
      <c r="A704" s="4">
        <v>13314</v>
      </c>
      <c r="B704" s="3" t="s">
        <v>39</v>
      </c>
      <c r="C704" s="3" t="s">
        <v>42</v>
      </c>
      <c r="D704" s="11">
        <v>120000</v>
      </c>
      <c r="E704" s="9" t="str" cm="1">
        <f t="array" ref="E704">_xlfn.IFS(D704&gt;149000, "Very High", D704&gt;99000, "High", D704&gt;59999, "Average", D704&gt;19999, "Low", D704&gt;0, "Poverty")</f>
        <v>High</v>
      </c>
      <c r="F704" s="3">
        <v>1</v>
      </c>
      <c r="G704" t="s">
        <v>27</v>
      </c>
      <c r="H704" t="s">
        <v>21</v>
      </c>
      <c r="I704" s="3" t="s">
        <v>15</v>
      </c>
      <c r="J704" s="3">
        <v>4</v>
      </c>
      <c r="K704" t="s">
        <v>23</v>
      </c>
      <c r="L704" t="s">
        <v>32</v>
      </c>
      <c r="M704" s="3">
        <v>46</v>
      </c>
      <c r="N704" s="3" t="str" cm="1">
        <f t="array" ref="N704">_xlfn.IFS(M704&gt;59, "Pension Age", M704&gt;44, "Elderly (45+)", M704&gt;29, "Middle Age (30+)", M704&gt;22, "Adult (23+)", M704&gt;15, "Teen/Young Adult (16+)")</f>
        <v>Elderly (45+)</v>
      </c>
      <c r="O704" s="3" t="s">
        <v>15</v>
      </c>
    </row>
    <row r="705" spans="1:15" x14ac:dyDescent="0.3">
      <c r="A705" s="4">
        <v>11619</v>
      </c>
      <c r="B705" s="3" t="s">
        <v>40</v>
      </c>
      <c r="C705" s="3" t="s">
        <v>41</v>
      </c>
      <c r="D705" s="11">
        <v>50000</v>
      </c>
      <c r="E705" s="9" t="str" cm="1">
        <f t="array" ref="E705">_xlfn.IFS(D705&gt;149000, "Very High", D705&gt;99000, "High", D705&gt;59999, "Average", D705&gt;19999, "Low", D705&gt;0, "Poverty")</f>
        <v>Low</v>
      </c>
      <c r="F705" s="3">
        <v>0</v>
      </c>
      <c r="G705" t="s">
        <v>31</v>
      </c>
      <c r="H705" t="s">
        <v>14</v>
      </c>
      <c r="I705" s="3" t="s">
        <v>15</v>
      </c>
      <c r="J705" s="3">
        <v>0</v>
      </c>
      <c r="K705" t="s">
        <v>26</v>
      </c>
      <c r="L705" t="s">
        <v>32</v>
      </c>
      <c r="M705" s="3">
        <v>33</v>
      </c>
      <c r="N705" s="3" t="str" cm="1">
        <f t="array" ref="N705">_xlfn.IFS(M705&gt;59, "Pension Age", M705&gt;44, "Elderly (45+)", M705&gt;29, "Middle Age (30+)", M705&gt;22, "Adult (23+)", M705&gt;15, "Teen/Young Adult (16+)")</f>
        <v>Middle Age (30+)</v>
      </c>
      <c r="O705" s="3" t="s">
        <v>18</v>
      </c>
    </row>
    <row r="706" spans="1:15" x14ac:dyDescent="0.3">
      <c r="A706" s="4">
        <v>29132</v>
      </c>
      <c r="B706" s="3" t="s">
        <v>40</v>
      </c>
      <c r="C706" s="3" t="s">
        <v>41</v>
      </c>
      <c r="D706" s="11">
        <v>40000</v>
      </c>
      <c r="E706" s="9" t="str" cm="1">
        <f t="array" ref="E706">_xlfn.IFS(D706&gt;149000, "Very High", D706&gt;99000, "High", D706&gt;59999, "Average", D706&gt;19999, "Low", D706&gt;0, "Poverty")</f>
        <v>Low</v>
      </c>
      <c r="F706" s="3">
        <v>0</v>
      </c>
      <c r="G706" t="s">
        <v>13</v>
      </c>
      <c r="H706" t="s">
        <v>21</v>
      </c>
      <c r="I706" s="3" t="s">
        <v>15</v>
      </c>
      <c r="J706" s="3">
        <v>1</v>
      </c>
      <c r="K706" t="s">
        <v>22</v>
      </c>
      <c r="L706" t="s">
        <v>32</v>
      </c>
      <c r="M706" s="3">
        <v>42</v>
      </c>
      <c r="N706" s="3" t="str" cm="1">
        <f t="array" ref="N706">_xlfn.IFS(M706&gt;59, "Pension Age", M706&gt;44, "Elderly (45+)", M706&gt;29, "Middle Age (30+)", M706&gt;22, "Adult (23+)", M706&gt;15, "Teen/Young Adult (16+)")</f>
        <v>Middle Age (30+)</v>
      </c>
      <c r="O706" s="3" t="s">
        <v>15</v>
      </c>
    </row>
    <row r="707" spans="1:15" x14ac:dyDescent="0.3">
      <c r="A707" s="4">
        <v>11199</v>
      </c>
      <c r="B707" s="3" t="s">
        <v>39</v>
      </c>
      <c r="C707" s="3" t="s">
        <v>41</v>
      </c>
      <c r="D707" s="11">
        <v>70000</v>
      </c>
      <c r="E707" s="9" t="str" cm="1">
        <f t="array" ref="E707">_xlfn.IFS(D707&gt;149000, "Very High", D707&gt;99000, "High", D707&gt;59999, "Average", D707&gt;19999, "Low", D707&gt;0, "Poverty")</f>
        <v>Average</v>
      </c>
      <c r="F707" s="3">
        <v>4</v>
      </c>
      <c r="G707" t="s">
        <v>13</v>
      </c>
      <c r="H707" t="s">
        <v>28</v>
      </c>
      <c r="I707" s="3" t="s">
        <v>15</v>
      </c>
      <c r="J707" s="3">
        <v>1</v>
      </c>
      <c r="K707" t="s">
        <v>30</v>
      </c>
      <c r="L707" t="s">
        <v>32</v>
      </c>
      <c r="M707" s="3">
        <v>59</v>
      </c>
      <c r="N707" s="3" t="str" cm="1">
        <f t="array" ref="N707">_xlfn.IFS(M707&gt;59, "Pension Age", M707&gt;44, "Elderly (45+)", M707&gt;29, "Middle Age (30+)", M707&gt;22, "Adult (23+)", M707&gt;15, "Teen/Young Adult (16+)")</f>
        <v>Elderly (45+)</v>
      </c>
      <c r="O707" s="3" t="s">
        <v>18</v>
      </c>
    </row>
    <row r="708" spans="1:15" x14ac:dyDescent="0.3">
      <c r="A708" s="4">
        <v>20296</v>
      </c>
      <c r="B708" s="3" t="s">
        <v>40</v>
      </c>
      <c r="C708" s="3" t="s">
        <v>41</v>
      </c>
      <c r="D708" s="11">
        <v>60000</v>
      </c>
      <c r="E708" s="9" t="str" cm="1">
        <f t="array" ref="E708">_xlfn.IFS(D708&gt;149000, "Very High", D708&gt;99000, "High", D708&gt;59999, "Average", D708&gt;19999, "Low", D708&gt;0, "Poverty")</f>
        <v>Average</v>
      </c>
      <c r="F708" s="3">
        <v>0</v>
      </c>
      <c r="G708" t="s">
        <v>19</v>
      </c>
      <c r="H708" t="s">
        <v>14</v>
      </c>
      <c r="I708" s="3" t="s">
        <v>18</v>
      </c>
      <c r="J708" s="3">
        <v>1</v>
      </c>
      <c r="K708" t="s">
        <v>26</v>
      </c>
      <c r="L708" t="s">
        <v>32</v>
      </c>
      <c r="M708" s="3">
        <v>33</v>
      </c>
      <c r="N708" s="3" t="str" cm="1">
        <f t="array" ref="N708">_xlfn.IFS(M708&gt;59, "Pension Age", M708&gt;44, "Elderly (45+)", M708&gt;29, "Middle Age (30+)", M708&gt;22, "Adult (23+)", M708&gt;15, "Teen/Young Adult (16+)")</f>
        <v>Middle Age (30+)</v>
      </c>
      <c r="O708" s="3" t="s">
        <v>15</v>
      </c>
    </row>
    <row r="709" spans="1:15" x14ac:dyDescent="0.3">
      <c r="A709" s="4">
        <v>17546</v>
      </c>
      <c r="B709" s="3" t="s">
        <v>39</v>
      </c>
      <c r="C709" s="3" t="s">
        <v>41</v>
      </c>
      <c r="D709" s="11">
        <v>70000</v>
      </c>
      <c r="E709" s="9" t="str" cm="1">
        <f t="array" ref="E709">_xlfn.IFS(D709&gt;149000, "Very High", D709&gt;99000, "High", D709&gt;59999, "Average", D709&gt;19999, "Low", D709&gt;0, "Poverty")</f>
        <v>Average</v>
      </c>
      <c r="F709" s="3">
        <v>1</v>
      </c>
      <c r="G709" t="s">
        <v>19</v>
      </c>
      <c r="H709" t="s">
        <v>14</v>
      </c>
      <c r="I709" s="3" t="s">
        <v>15</v>
      </c>
      <c r="J709" s="3">
        <v>1</v>
      </c>
      <c r="K709" t="s">
        <v>16</v>
      </c>
      <c r="L709" t="s">
        <v>32</v>
      </c>
      <c r="M709" s="3">
        <v>44</v>
      </c>
      <c r="N709" s="3" t="str" cm="1">
        <f t="array" ref="N709">_xlfn.IFS(M709&gt;59, "Pension Age", M709&gt;44, "Elderly (45+)", M709&gt;29, "Middle Age (30+)", M709&gt;22, "Adult (23+)", M709&gt;15, "Teen/Young Adult (16+)")</f>
        <v>Middle Age (30+)</v>
      </c>
      <c r="O709" s="3" t="s">
        <v>15</v>
      </c>
    </row>
    <row r="710" spans="1:15" x14ac:dyDescent="0.3">
      <c r="A710" s="4">
        <v>18069</v>
      </c>
      <c r="B710" s="3" t="s">
        <v>39</v>
      </c>
      <c r="C710" s="3" t="s">
        <v>42</v>
      </c>
      <c r="D710" s="11">
        <v>70000</v>
      </c>
      <c r="E710" s="9" t="str" cm="1">
        <f t="array" ref="E710">_xlfn.IFS(D710&gt;149000, "Very High", D710&gt;99000, "High", D710&gt;59999, "Average", D710&gt;19999, "Low", D710&gt;0, "Poverty")</f>
        <v>Average</v>
      </c>
      <c r="F710" s="3">
        <v>5</v>
      </c>
      <c r="G710" t="s">
        <v>13</v>
      </c>
      <c r="H710" t="s">
        <v>28</v>
      </c>
      <c r="I710" s="3" t="s">
        <v>15</v>
      </c>
      <c r="J710" s="3">
        <v>4</v>
      </c>
      <c r="K710" t="s">
        <v>30</v>
      </c>
      <c r="L710" t="s">
        <v>32</v>
      </c>
      <c r="M710" s="3">
        <v>60</v>
      </c>
      <c r="N710" s="3" t="str" cm="1">
        <f t="array" ref="N710">_xlfn.IFS(M710&gt;59, "Pension Age", M710&gt;44, "Elderly (45+)", M710&gt;29, "Middle Age (30+)", M710&gt;22, "Adult (23+)", M710&gt;15, "Teen/Young Adult (16+)")</f>
        <v>Pension Age</v>
      </c>
      <c r="O710" s="3" t="s">
        <v>18</v>
      </c>
    </row>
    <row r="711" spans="1:15" x14ac:dyDescent="0.3">
      <c r="A711" s="4">
        <v>23712</v>
      </c>
      <c r="B711" s="3" t="s">
        <v>40</v>
      </c>
      <c r="C711" s="3" t="s">
        <v>41</v>
      </c>
      <c r="D711" s="11">
        <v>70000</v>
      </c>
      <c r="E711" s="9" t="str" cm="1">
        <f t="array" ref="E711">_xlfn.IFS(D711&gt;149000, "Very High", D711&gt;99000, "High", D711&gt;59999, "Average", D711&gt;19999, "Low", D711&gt;0, "Poverty")</f>
        <v>Average</v>
      </c>
      <c r="F711" s="3">
        <v>2</v>
      </c>
      <c r="G711" t="s">
        <v>13</v>
      </c>
      <c r="H711" t="s">
        <v>28</v>
      </c>
      <c r="I711" s="3" t="s">
        <v>15</v>
      </c>
      <c r="J711" s="3">
        <v>1</v>
      </c>
      <c r="K711" t="s">
        <v>30</v>
      </c>
      <c r="L711" t="s">
        <v>32</v>
      </c>
      <c r="M711" s="3">
        <v>59</v>
      </c>
      <c r="N711" s="3" t="str" cm="1">
        <f t="array" ref="N711">_xlfn.IFS(M711&gt;59, "Pension Age", M711&gt;44, "Elderly (45+)", M711&gt;29, "Middle Age (30+)", M711&gt;22, "Adult (23+)", M711&gt;15, "Teen/Young Adult (16+)")</f>
        <v>Elderly (45+)</v>
      </c>
      <c r="O711" s="3" t="s">
        <v>18</v>
      </c>
    </row>
    <row r="712" spans="1:15" x14ac:dyDescent="0.3">
      <c r="A712" s="4">
        <v>23358</v>
      </c>
      <c r="B712" s="3" t="s">
        <v>39</v>
      </c>
      <c r="C712" s="3" t="s">
        <v>42</v>
      </c>
      <c r="D712" s="11">
        <v>60000</v>
      </c>
      <c r="E712" s="9" t="str" cm="1">
        <f t="array" ref="E712">_xlfn.IFS(D712&gt;149000, "Very High", D712&gt;99000, "High", D712&gt;59999, "Average", D712&gt;19999, "Low", D712&gt;0, "Poverty")</f>
        <v>Average</v>
      </c>
      <c r="F712" s="3">
        <v>0</v>
      </c>
      <c r="G712" t="s">
        <v>27</v>
      </c>
      <c r="H712" t="s">
        <v>21</v>
      </c>
      <c r="I712" s="3" t="s">
        <v>15</v>
      </c>
      <c r="J712" s="3">
        <v>2</v>
      </c>
      <c r="K712" t="s">
        <v>23</v>
      </c>
      <c r="L712" t="s">
        <v>32</v>
      </c>
      <c r="M712" s="3">
        <v>32</v>
      </c>
      <c r="N712" s="3" t="str" cm="1">
        <f t="array" ref="N712">_xlfn.IFS(M712&gt;59, "Pension Age", M712&gt;44, "Elderly (45+)", M712&gt;29, "Middle Age (30+)", M712&gt;22, "Adult (23+)", M712&gt;15, "Teen/Young Adult (16+)")</f>
        <v>Middle Age (30+)</v>
      </c>
      <c r="O712" s="3" t="s">
        <v>15</v>
      </c>
    </row>
    <row r="713" spans="1:15" x14ac:dyDescent="0.3">
      <c r="A713" s="4">
        <v>20518</v>
      </c>
      <c r="B713" s="3" t="s">
        <v>39</v>
      </c>
      <c r="C713" s="3" t="s">
        <v>41</v>
      </c>
      <c r="D713" s="11">
        <v>70000</v>
      </c>
      <c r="E713" s="9" t="str" cm="1">
        <f t="array" ref="E713">_xlfn.IFS(D713&gt;149000, "Very High", D713&gt;99000, "High", D713&gt;59999, "Average", D713&gt;19999, "Low", D713&gt;0, "Poverty")</f>
        <v>Average</v>
      </c>
      <c r="F713" s="3">
        <v>2</v>
      </c>
      <c r="G713" t="s">
        <v>19</v>
      </c>
      <c r="H713" t="s">
        <v>21</v>
      </c>
      <c r="I713" s="3" t="s">
        <v>15</v>
      </c>
      <c r="J713" s="3">
        <v>1</v>
      </c>
      <c r="K713" t="s">
        <v>30</v>
      </c>
      <c r="L713" t="s">
        <v>32</v>
      </c>
      <c r="M713" s="3">
        <v>58</v>
      </c>
      <c r="N713" s="3" t="str" cm="1">
        <f t="array" ref="N713">_xlfn.IFS(M713&gt;59, "Pension Age", M713&gt;44, "Elderly (45+)", M713&gt;29, "Middle Age (30+)", M713&gt;22, "Adult (23+)", M713&gt;15, "Teen/Young Adult (16+)")</f>
        <v>Elderly (45+)</v>
      </c>
      <c r="O713" s="3" t="s">
        <v>18</v>
      </c>
    </row>
    <row r="714" spans="1:15" x14ac:dyDescent="0.3">
      <c r="A714" s="4">
        <v>28026</v>
      </c>
      <c r="B714" s="3" t="s">
        <v>39</v>
      </c>
      <c r="C714" s="3" t="s">
        <v>41</v>
      </c>
      <c r="D714" s="11">
        <v>40000</v>
      </c>
      <c r="E714" s="9" t="str" cm="1">
        <f t="array" ref="E714">_xlfn.IFS(D714&gt;149000, "Very High", D714&gt;99000, "High", D714&gt;59999, "Average", D714&gt;19999, "Low", D714&gt;0, "Poverty")</f>
        <v>Low</v>
      </c>
      <c r="F714" s="3">
        <v>2</v>
      </c>
      <c r="G714" t="s">
        <v>27</v>
      </c>
      <c r="H714" t="s">
        <v>21</v>
      </c>
      <c r="I714" s="3" t="s">
        <v>18</v>
      </c>
      <c r="J714" s="3">
        <v>2</v>
      </c>
      <c r="K714" t="s">
        <v>22</v>
      </c>
      <c r="L714" t="s">
        <v>32</v>
      </c>
      <c r="M714" s="3">
        <v>59</v>
      </c>
      <c r="N714" s="3" t="str" cm="1">
        <f t="array" ref="N714">_xlfn.IFS(M714&gt;59, "Pension Age", M714&gt;44, "Elderly (45+)", M714&gt;29, "Middle Age (30+)", M714&gt;22, "Adult (23+)", M714&gt;15, "Teen/Young Adult (16+)")</f>
        <v>Elderly (45+)</v>
      </c>
      <c r="O714" s="3" t="s">
        <v>18</v>
      </c>
    </row>
    <row r="715" spans="1:15" x14ac:dyDescent="0.3">
      <c r="A715" s="4">
        <v>11669</v>
      </c>
      <c r="B715" s="3" t="s">
        <v>40</v>
      </c>
      <c r="C715" s="3" t="s">
        <v>41</v>
      </c>
      <c r="D715" s="11">
        <v>70000</v>
      </c>
      <c r="E715" s="9" t="str" cm="1">
        <f t="array" ref="E715">_xlfn.IFS(D715&gt;149000, "Very High", D715&gt;99000, "High", D715&gt;59999, "Average", D715&gt;19999, "Low", D715&gt;0, "Poverty")</f>
        <v>Average</v>
      </c>
      <c r="F715" s="3">
        <v>2</v>
      </c>
      <c r="G715" t="s">
        <v>13</v>
      </c>
      <c r="H715" t="s">
        <v>14</v>
      </c>
      <c r="I715" s="3" t="s">
        <v>15</v>
      </c>
      <c r="J715" s="3">
        <v>1</v>
      </c>
      <c r="K715" t="s">
        <v>22</v>
      </c>
      <c r="L715" t="s">
        <v>32</v>
      </c>
      <c r="M715" s="3">
        <v>38</v>
      </c>
      <c r="N715" s="3" t="str" cm="1">
        <f t="array" ref="N715">_xlfn.IFS(M715&gt;59, "Pension Age", M715&gt;44, "Elderly (45+)", M715&gt;29, "Middle Age (30+)", M715&gt;22, "Adult (23+)", M715&gt;15, "Teen/Young Adult (16+)")</f>
        <v>Middle Age (30+)</v>
      </c>
      <c r="O715" s="3" t="s">
        <v>18</v>
      </c>
    </row>
    <row r="716" spans="1:15" x14ac:dyDescent="0.3">
      <c r="A716" s="4">
        <v>16020</v>
      </c>
      <c r="B716" s="3" t="s">
        <v>39</v>
      </c>
      <c r="C716" s="3" t="s">
        <v>42</v>
      </c>
      <c r="D716" s="11">
        <v>40000</v>
      </c>
      <c r="E716" s="9" t="str" cm="1">
        <f t="array" ref="E716">_xlfn.IFS(D716&gt;149000, "Very High", D716&gt;99000, "High", D716&gt;59999, "Average", D716&gt;19999, "Low", D716&gt;0, "Poverty")</f>
        <v>Low</v>
      </c>
      <c r="F716" s="3">
        <v>0</v>
      </c>
      <c r="G716" t="s">
        <v>27</v>
      </c>
      <c r="H716" t="s">
        <v>14</v>
      </c>
      <c r="I716" s="3" t="s">
        <v>15</v>
      </c>
      <c r="J716" s="3">
        <v>2</v>
      </c>
      <c r="K716" t="s">
        <v>23</v>
      </c>
      <c r="L716" t="s">
        <v>32</v>
      </c>
      <c r="M716" s="3">
        <v>28</v>
      </c>
      <c r="N716" s="3" t="str" cm="1">
        <f t="array" ref="N716">_xlfn.IFS(M716&gt;59, "Pension Age", M716&gt;44, "Elderly (45+)", M716&gt;29, "Middle Age (30+)", M716&gt;22, "Adult (23+)", M716&gt;15, "Teen/Young Adult (16+)")</f>
        <v>Adult (23+)</v>
      </c>
      <c r="O716" s="3" t="s">
        <v>15</v>
      </c>
    </row>
    <row r="717" spans="1:15" x14ac:dyDescent="0.3">
      <c r="A717" s="4">
        <v>27090</v>
      </c>
      <c r="B717" s="3" t="s">
        <v>39</v>
      </c>
      <c r="C717" s="3" t="s">
        <v>41</v>
      </c>
      <c r="D717" s="11">
        <v>60000</v>
      </c>
      <c r="E717" s="9" t="str" cm="1">
        <f t="array" ref="E717">_xlfn.IFS(D717&gt;149000, "Very High", D717&gt;99000, "High", D717&gt;59999, "Average", D717&gt;19999, "Low", D717&gt;0, "Poverty")</f>
        <v>Average</v>
      </c>
      <c r="F717" s="3">
        <v>1</v>
      </c>
      <c r="G717" t="s">
        <v>31</v>
      </c>
      <c r="H717" t="s">
        <v>21</v>
      </c>
      <c r="I717" s="3" t="s">
        <v>15</v>
      </c>
      <c r="J717" s="3">
        <v>0</v>
      </c>
      <c r="K717" t="s">
        <v>22</v>
      </c>
      <c r="L717" t="s">
        <v>32</v>
      </c>
      <c r="M717" s="3">
        <v>37</v>
      </c>
      <c r="N717" s="3" t="str" cm="1">
        <f t="array" ref="N717">_xlfn.IFS(M717&gt;59, "Pension Age", M717&gt;44, "Elderly (45+)", M717&gt;29, "Middle Age (30+)", M717&gt;22, "Adult (23+)", M717&gt;15, "Teen/Young Adult (16+)")</f>
        <v>Middle Age (30+)</v>
      </c>
      <c r="O717" s="3" t="s">
        <v>15</v>
      </c>
    </row>
    <row r="718" spans="1:15" x14ac:dyDescent="0.3">
      <c r="A718" s="4">
        <v>27198</v>
      </c>
      <c r="B718" s="3" t="s">
        <v>40</v>
      </c>
      <c r="C718" s="3" t="s">
        <v>41</v>
      </c>
      <c r="D718" s="11">
        <v>80000</v>
      </c>
      <c r="E718" s="9" t="str" cm="1">
        <f t="array" ref="E718">_xlfn.IFS(D718&gt;149000, "Very High", D718&gt;99000, "High", D718&gt;59999, "Average", D718&gt;19999, "Low", D718&gt;0, "Poverty")</f>
        <v>Average</v>
      </c>
      <c r="F718" s="3">
        <v>0</v>
      </c>
      <c r="G718" t="s">
        <v>31</v>
      </c>
      <c r="H718" t="s">
        <v>14</v>
      </c>
      <c r="I718" s="3" t="s">
        <v>18</v>
      </c>
      <c r="J718" s="3">
        <v>0</v>
      </c>
      <c r="K718" t="s">
        <v>16</v>
      </c>
      <c r="L718" t="s">
        <v>32</v>
      </c>
      <c r="M718" s="3">
        <v>40</v>
      </c>
      <c r="N718" s="3" t="str" cm="1">
        <f t="array" ref="N718">_xlfn.IFS(M718&gt;59, "Pension Age", M718&gt;44, "Elderly (45+)", M718&gt;29, "Middle Age (30+)", M718&gt;22, "Adult (23+)", M718&gt;15, "Teen/Young Adult (16+)")</f>
        <v>Middle Age (30+)</v>
      </c>
      <c r="O718" s="3" t="s">
        <v>18</v>
      </c>
    </row>
    <row r="719" spans="1:15" x14ac:dyDescent="0.3">
      <c r="A719" s="4">
        <v>19661</v>
      </c>
      <c r="B719" s="3" t="s">
        <v>40</v>
      </c>
      <c r="C719" s="3" t="s">
        <v>42</v>
      </c>
      <c r="D719" s="11">
        <v>90000</v>
      </c>
      <c r="E719" s="9" t="str" cm="1">
        <f t="array" ref="E719">_xlfn.IFS(D719&gt;149000, "Very High", D719&gt;99000, "High", D719&gt;59999, "Average", D719&gt;19999, "Low", D719&gt;0, "Poverty")</f>
        <v>Average</v>
      </c>
      <c r="F719" s="3">
        <v>4</v>
      </c>
      <c r="G719" t="s">
        <v>13</v>
      </c>
      <c r="H719" t="s">
        <v>28</v>
      </c>
      <c r="I719" s="3" t="s">
        <v>15</v>
      </c>
      <c r="J719" s="3">
        <v>1</v>
      </c>
      <c r="K719" t="s">
        <v>26</v>
      </c>
      <c r="L719" t="s">
        <v>32</v>
      </c>
      <c r="M719" s="3">
        <v>38</v>
      </c>
      <c r="N719" s="3" t="str" cm="1">
        <f t="array" ref="N719">_xlfn.IFS(M719&gt;59, "Pension Age", M719&gt;44, "Elderly (45+)", M719&gt;29, "Middle Age (30+)", M719&gt;22, "Adult (23+)", M719&gt;15, "Teen/Young Adult (16+)")</f>
        <v>Middle Age (30+)</v>
      </c>
      <c r="O719" s="3" t="s">
        <v>15</v>
      </c>
    </row>
    <row r="720" spans="1:15" x14ac:dyDescent="0.3">
      <c r="A720" s="4">
        <v>26327</v>
      </c>
      <c r="B720" s="3" t="s">
        <v>39</v>
      </c>
      <c r="C720" s="3" t="s">
        <v>42</v>
      </c>
      <c r="D720" s="11">
        <v>70000</v>
      </c>
      <c r="E720" s="9" t="str" cm="1">
        <f t="array" ref="E720">_xlfn.IFS(D720&gt;149000, "Very High", D720&gt;99000, "High", D720&gt;59999, "Average", D720&gt;19999, "Low", D720&gt;0, "Poverty")</f>
        <v>Average</v>
      </c>
      <c r="F720" s="3">
        <v>4</v>
      </c>
      <c r="G720" t="s">
        <v>31</v>
      </c>
      <c r="H720" t="s">
        <v>21</v>
      </c>
      <c r="I720" s="3" t="s">
        <v>15</v>
      </c>
      <c r="J720" s="3">
        <v>0</v>
      </c>
      <c r="K720" t="s">
        <v>22</v>
      </c>
      <c r="L720" t="s">
        <v>32</v>
      </c>
      <c r="M720" s="3">
        <v>36</v>
      </c>
      <c r="N720" s="3" t="str" cm="1">
        <f t="array" ref="N720">_xlfn.IFS(M720&gt;59, "Pension Age", M720&gt;44, "Elderly (45+)", M720&gt;29, "Middle Age (30+)", M720&gt;22, "Adult (23+)", M720&gt;15, "Teen/Young Adult (16+)")</f>
        <v>Middle Age (30+)</v>
      </c>
      <c r="O720" s="3" t="s">
        <v>15</v>
      </c>
    </row>
    <row r="721" spans="1:15" x14ac:dyDescent="0.3">
      <c r="A721" s="4">
        <v>26341</v>
      </c>
      <c r="B721" s="3" t="s">
        <v>39</v>
      </c>
      <c r="C721" s="3" t="s">
        <v>41</v>
      </c>
      <c r="D721" s="11">
        <v>70000</v>
      </c>
      <c r="E721" s="9" t="str" cm="1">
        <f t="array" ref="E721">_xlfn.IFS(D721&gt;149000, "Very High", D721&gt;99000, "High", D721&gt;59999, "Average", D721&gt;19999, "Low", D721&gt;0, "Poverty")</f>
        <v>Average</v>
      </c>
      <c r="F721" s="3">
        <v>5</v>
      </c>
      <c r="G721" t="s">
        <v>31</v>
      </c>
      <c r="H721" t="s">
        <v>21</v>
      </c>
      <c r="I721" s="3" t="s">
        <v>15</v>
      </c>
      <c r="J721" s="3">
        <v>2</v>
      </c>
      <c r="K721" t="s">
        <v>16</v>
      </c>
      <c r="L721" t="s">
        <v>32</v>
      </c>
      <c r="M721" s="3">
        <v>37</v>
      </c>
      <c r="N721" s="3" t="str" cm="1">
        <f t="array" ref="N721">_xlfn.IFS(M721&gt;59, "Pension Age", M721&gt;44, "Elderly (45+)", M721&gt;29, "Middle Age (30+)", M721&gt;22, "Adult (23+)", M721&gt;15, "Teen/Young Adult (16+)")</f>
        <v>Middle Age (30+)</v>
      </c>
      <c r="O721" s="3" t="s">
        <v>18</v>
      </c>
    </row>
    <row r="722" spans="1:15" x14ac:dyDescent="0.3">
      <c r="A722" s="4">
        <v>24958</v>
      </c>
      <c r="B722" s="3" t="s">
        <v>40</v>
      </c>
      <c r="C722" s="3" t="s">
        <v>41</v>
      </c>
      <c r="D722" s="11">
        <v>40000</v>
      </c>
      <c r="E722" s="9" t="str" cm="1">
        <f t="array" ref="E722">_xlfn.IFS(D722&gt;149000, "Very High", D722&gt;99000, "High", D722&gt;59999, "Average", D722&gt;19999, "Low", D722&gt;0, "Poverty")</f>
        <v>Low</v>
      </c>
      <c r="F722" s="3">
        <v>5</v>
      </c>
      <c r="G722" t="s">
        <v>27</v>
      </c>
      <c r="H722" t="s">
        <v>21</v>
      </c>
      <c r="I722" s="3" t="s">
        <v>18</v>
      </c>
      <c r="J722" s="3">
        <v>3</v>
      </c>
      <c r="K722" t="s">
        <v>22</v>
      </c>
      <c r="L722" t="s">
        <v>32</v>
      </c>
      <c r="M722" s="3">
        <v>60</v>
      </c>
      <c r="N722" s="3" t="str" cm="1">
        <f t="array" ref="N722">_xlfn.IFS(M722&gt;59, "Pension Age", M722&gt;44, "Elderly (45+)", M722&gt;29, "Middle Age (30+)", M722&gt;22, "Adult (23+)", M722&gt;15, "Teen/Young Adult (16+)")</f>
        <v>Pension Age</v>
      </c>
      <c r="O722" s="3" t="s">
        <v>15</v>
      </c>
    </row>
    <row r="723" spans="1:15" x14ac:dyDescent="0.3">
      <c r="A723" s="4">
        <v>13287</v>
      </c>
      <c r="B723" s="3" t="s">
        <v>40</v>
      </c>
      <c r="C723" s="3" t="s">
        <v>42</v>
      </c>
      <c r="D723" s="11">
        <v>110000</v>
      </c>
      <c r="E723" s="9" t="str" cm="1">
        <f t="array" ref="E723">_xlfn.IFS(D723&gt;149000, "Very High", D723&gt;99000, "High", D723&gt;59999, "Average", D723&gt;19999, "Low", D723&gt;0, "Poverty")</f>
        <v>High</v>
      </c>
      <c r="F723" s="3">
        <v>4</v>
      </c>
      <c r="G723" t="s">
        <v>13</v>
      </c>
      <c r="H723" t="s">
        <v>28</v>
      </c>
      <c r="I723" s="3" t="s">
        <v>15</v>
      </c>
      <c r="J723" s="3">
        <v>4</v>
      </c>
      <c r="K723" t="s">
        <v>23</v>
      </c>
      <c r="L723" t="s">
        <v>32</v>
      </c>
      <c r="M723" s="3">
        <v>42</v>
      </c>
      <c r="N723" s="3" t="str" cm="1">
        <f t="array" ref="N723">_xlfn.IFS(M723&gt;59, "Pension Age", M723&gt;44, "Elderly (45+)", M723&gt;29, "Middle Age (30+)", M723&gt;22, "Adult (23+)", M723&gt;15, "Teen/Young Adult (16+)")</f>
        <v>Middle Age (30+)</v>
      </c>
      <c r="O723" s="3" t="s">
        <v>15</v>
      </c>
    </row>
    <row r="724" spans="1:15" x14ac:dyDescent="0.3">
      <c r="A724" s="4">
        <v>14493</v>
      </c>
      <c r="B724" s="3" t="s">
        <v>40</v>
      </c>
      <c r="C724" s="3" t="s">
        <v>41</v>
      </c>
      <c r="D724" s="11">
        <v>70000</v>
      </c>
      <c r="E724" s="9" t="str" cm="1">
        <f t="array" ref="E724">_xlfn.IFS(D724&gt;149000, "Very High", D724&gt;99000, "High", D724&gt;59999, "Average", D724&gt;19999, "Low", D724&gt;0, "Poverty")</f>
        <v>Average</v>
      </c>
      <c r="F724" s="3">
        <v>3</v>
      </c>
      <c r="G724" t="s">
        <v>31</v>
      </c>
      <c r="H724" t="s">
        <v>28</v>
      </c>
      <c r="I724" s="3" t="s">
        <v>18</v>
      </c>
      <c r="J724" s="3">
        <v>2</v>
      </c>
      <c r="K724" t="s">
        <v>26</v>
      </c>
      <c r="L724" t="s">
        <v>32</v>
      </c>
      <c r="M724" s="3">
        <v>53</v>
      </c>
      <c r="N724" s="3" t="str" cm="1">
        <f t="array" ref="N724">_xlfn.IFS(M724&gt;59, "Pension Age", M724&gt;44, "Elderly (45+)", M724&gt;29, "Middle Age (30+)", M724&gt;22, "Adult (23+)", M724&gt;15, "Teen/Young Adult (16+)")</f>
        <v>Elderly (45+)</v>
      </c>
      <c r="O724" s="3" t="s">
        <v>18</v>
      </c>
    </row>
    <row r="725" spans="1:15" x14ac:dyDescent="0.3">
      <c r="A725" s="4">
        <v>26678</v>
      </c>
      <c r="B725" s="3" t="s">
        <v>40</v>
      </c>
      <c r="C725" s="3" t="s">
        <v>41</v>
      </c>
      <c r="D725" s="11">
        <v>80000</v>
      </c>
      <c r="E725" s="9" t="str" cm="1">
        <f t="array" ref="E725">_xlfn.IFS(D725&gt;149000, "Very High", D725&gt;99000, "High", D725&gt;59999, "Average", D725&gt;19999, "Low", D725&gt;0, "Poverty")</f>
        <v>Average</v>
      </c>
      <c r="F725" s="3">
        <v>2</v>
      </c>
      <c r="G725" t="s">
        <v>29</v>
      </c>
      <c r="H725" t="s">
        <v>14</v>
      </c>
      <c r="I725" s="3" t="s">
        <v>15</v>
      </c>
      <c r="J725" s="3">
        <v>2</v>
      </c>
      <c r="K725" t="s">
        <v>23</v>
      </c>
      <c r="L725" t="s">
        <v>32</v>
      </c>
      <c r="M725" s="3">
        <v>49</v>
      </c>
      <c r="N725" s="3" t="str" cm="1">
        <f t="array" ref="N725">_xlfn.IFS(M725&gt;59, "Pension Age", M725&gt;44, "Elderly (45+)", M725&gt;29, "Middle Age (30+)", M725&gt;22, "Adult (23+)", M725&gt;15, "Teen/Young Adult (16+)")</f>
        <v>Elderly (45+)</v>
      </c>
      <c r="O725" s="3" t="s">
        <v>18</v>
      </c>
    </row>
    <row r="726" spans="1:15" x14ac:dyDescent="0.3">
      <c r="A726" s="4">
        <v>23275</v>
      </c>
      <c r="B726" s="3" t="s">
        <v>39</v>
      </c>
      <c r="C726" s="3" t="s">
        <v>42</v>
      </c>
      <c r="D726" s="11">
        <v>30000</v>
      </c>
      <c r="E726" s="9" t="str" cm="1">
        <f t="array" ref="E726">_xlfn.IFS(D726&gt;149000, "Very High", D726&gt;99000, "High", D726&gt;59999, "Average", D726&gt;19999, "Low", D726&gt;0, "Poverty")</f>
        <v>Low</v>
      </c>
      <c r="F726" s="3">
        <v>2</v>
      </c>
      <c r="G726" t="s">
        <v>27</v>
      </c>
      <c r="H726" t="s">
        <v>14</v>
      </c>
      <c r="I726" s="3" t="s">
        <v>15</v>
      </c>
      <c r="J726" s="3">
        <v>2</v>
      </c>
      <c r="K726" t="s">
        <v>26</v>
      </c>
      <c r="L726" t="s">
        <v>32</v>
      </c>
      <c r="M726" s="3">
        <v>49</v>
      </c>
      <c r="N726" s="3" t="str" cm="1">
        <f t="array" ref="N726">_xlfn.IFS(M726&gt;59, "Pension Age", M726&gt;44, "Elderly (45+)", M726&gt;29, "Middle Age (30+)", M726&gt;22, "Adult (23+)", M726&gt;15, "Teen/Young Adult (16+)")</f>
        <v>Elderly (45+)</v>
      </c>
      <c r="O726" s="3" t="s">
        <v>18</v>
      </c>
    </row>
    <row r="727" spans="1:15" x14ac:dyDescent="0.3">
      <c r="A727" s="4">
        <v>11270</v>
      </c>
      <c r="B727" s="3" t="s">
        <v>39</v>
      </c>
      <c r="C727" s="3" t="s">
        <v>42</v>
      </c>
      <c r="D727" s="11">
        <v>130000</v>
      </c>
      <c r="E727" s="9" t="str" cm="1">
        <f t="array" ref="E727">_xlfn.IFS(D727&gt;149000, "Very High", D727&gt;99000, "High", D727&gt;59999, "Average", D727&gt;19999, "Low", D727&gt;0, "Poverty")</f>
        <v>High</v>
      </c>
      <c r="F727" s="3">
        <v>2</v>
      </c>
      <c r="G727" t="s">
        <v>31</v>
      </c>
      <c r="H727" t="s">
        <v>28</v>
      </c>
      <c r="I727" s="3" t="s">
        <v>15</v>
      </c>
      <c r="J727" s="3">
        <v>3</v>
      </c>
      <c r="K727" t="s">
        <v>16</v>
      </c>
      <c r="L727" t="s">
        <v>32</v>
      </c>
      <c r="M727" s="3">
        <v>42</v>
      </c>
      <c r="N727" s="3" t="str" cm="1">
        <f t="array" ref="N727">_xlfn.IFS(M727&gt;59, "Pension Age", M727&gt;44, "Elderly (45+)", M727&gt;29, "Middle Age (30+)", M727&gt;22, "Adult (23+)", M727&gt;15, "Teen/Young Adult (16+)")</f>
        <v>Middle Age (30+)</v>
      </c>
      <c r="O727" s="3" t="s">
        <v>15</v>
      </c>
    </row>
    <row r="728" spans="1:15" x14ac:dyDescent="0.3">
      <c r="A728" s="4">
        <v>20084</v>
      </c>
      <c r="B728" s="3" t="s">
        <v>39</v>
      </c>
      <c r="C728" s="3" t="s">
        <v>42</v>
      </c>
      <c r="D728" s="11">
        <v>20000</v>
      </c>
      <c r="E728" s="9" t="str" cm="1">
        <f t="array" ref="E728">_xlfn.IFS(D728&gt;149000, "Very High", D728&gt;99000, "High", D728&gt;59999, "Average", D728&gt;19999, "Low", D728&gt;0, "Poverty")</f>
        <v>Low</v>
      </c>
      <c r="F728" s="3">
        <v>2</v>
      </c>
      <c r="G728" t="s">
        <v>27</v>
      </c>
      <c r="H728" t="s">
        <v>25</v>
      </c>
      <c r="I728" s="3" t="s">
        <v>18</v>
      </c>
      <c r="J728" s="3">
        <v>2</v>
      </c>
      <c r="K728" t="s">
        <v>16</v>
      </c>
      <c r="L728" t="s">
        <v>32</v>
      </c>
      <c r="M728" s="3">
        <v>53</v>
      </c>
      <c r="N728" s="3" t="str" cm="1">
        <f t="array" ref="N728">_xlfn.IFS(M728&gt;59, "Pension Age", M728&gt;44, "Elderly (45+)", M728&gt;29, "Middle Age (30+)", M728&gt;22, "Adult (23+)", M728&gt;15, "Teen/Young Adult (16+)")</f>
        <v>Elderly (45+)</v>
      </c>
      <c r="O728" s="3" t="s">
        <v>18</v>
      </c>
    </row>
    <row r="729" spans="1:15" x14ac:dyDescent="0.3">
      <c r="A729" s="4">
        <v>16144</v>
      </c>
      <c r="B729" s="3" t="s">
        <v>39</v>
      </c>
      <c r="C729" s="3" t="s">
        <v>42</v>
      </c>
      <c r="D729" s="11">
        <v>70000</v>
      </c>
      <c r="E729" s="9" t="str" cm="1">
        <f t="array" ref="E729">_xlfn.IFS(D729&gt;149000, "Very High", D729&gt;99000, "High", D729&gt;59999, "Average", D729&gt;19999, "Low", D729&gt;0, "Poverty")</f>
        <v>Average</v>
      </c>
      <c r="F729" s="3">
        <v>1</v>
      </c>
      <c r="G729" t="s">
        <v>31</v>
      </c>
      <c r="H729" t="s">
        <v>21</v>
      </c>
      <c r="I729" s="3" t="s">
        <v>15</v>
      </c>
      <c r="J729" s="3">
        <v>1</v>
      </c>
      <c r="K729" t="s">
        <v>16</v>
      </c>
      <c r="L729" t="s">
        <v>32</v>
      </c>
      <c r="M729" s="3">
        <v>46</v>
      </c>
      <c r="N729" s="3" t="str" cm="1">
        <f t="array" ref="N729">_xlfn.IFS(M729&gt;59, "Pension Age", M729&gt;44, "Elderly (45+)", M729&gt;29, "Middle Age (30+)", M729&gt;22, "Adult (23+)", M729&gt;15, "Teen/Young Adult (16+)")</f>
        <v>Elderly (45+)</v>
      </c>
      <c r="O729" s="3" t="s">
        <v>15</v>
      </c>
    </row>
    <row r="730" spans="1:15" x14ac:dyDescent="0.3">
      <c r="A730" s="4">
        <v>27731</v>
      </c>
      <c r="B730" s="3" t="s">
        <v>39</v>
      </c>
      <c r="C730" s="3" t="s">
        <v>42</v>
      </c>
      <c r="D730" s="11">
        <v>40000</v>
      </c>
      <c r="E730" s="9" t="str" cm="1">
        <f t="array" ref="E730">_xlfn.IFS(D730&gt;149000, "Very High", D730&gt;99000, "High", D730&gt;59999, "Average", D730&gt;19999, "Low", D730&gt;0, "Poverty")</f>
        <v>Low</v>
      </c>
      <c r="F730" s="3">
        <v>0</v>
      </c>
      <c r="G730" t="s">
        <v>27</v>
      </c>
      <c r="H730" t="s">
        <v>14</v>
      </c>
      <c r="I730" s="3" t="s">
        <v>15</v>
      </c>
      <c r="J730" s="3">
        <v>2</v>
      </c>
      <c r="K730" t="s">
        <v>23</v>
      </c>
      <c r="L730" t="s">
        <v>32</v>
      </c>
      <c r="M730" s="3">
        <v>27</v>
      </c>
      <c r="N730" s="3" t="str" cm="1">
        <f t="array" ref="N730">_xlfn.IFS(M730&gt;59, "Pension Age", M730&gt;44, "Elderly (45+)", M730&gt;29, "Middle Age (30+)", M730&gt;22, "Adult (23+)", M730&gt;15, "Teen/Young Adult (16+)")</f>
        <v>Adult (23+)</v>
      </c>
      <c r="O730" s="3" t="s">
        <v>18</v>
      </c>
    </row>
    <row r="731" spans="1:15" x14ac:dyDescent="0.3">
      <c r="A731" s="4">
        <v>11886</v>
      </c>
      <c r="B731" s="3" t="s">
        <v>39</v>
      </c>
      <c r="C731" s="3" t="s">
        <v>41</v>
      </c>
      <c r="D731" s="11">
        <v>60000</v>
      </c>
      <c r="E731" s="9" t="str" cm="1">
        <f t="array" ref="E731">_xlfn.IFS(D731&gt;149000, "Very High", D731&gt;99000, "High", D731&gt;59999, "Average", D731&gt;19999, "Low", D731&gt;0, "Poverty")</f>
        <v>Average</v>
      </c>
      <c r="F731" s="3">
        <v>3</v>
      </c>
      <c r="G731" t="s">
        <v>13</v>
      </c>
      <c r="H731" t="s">
        <v>21</v>
      </c>
      <c r="I731" s="3" t="s">
        <v>15</v>
      </c>
      <c r="J731" s="3">
        <v>1</v>
      </c>
      <c r="K731" t="s">
        <v>16</v>
      </c>
      <c r="L731" t="s">
        <v>32</v>
      </c>
      <c r="M731" s="3">
        <v>48</v>
      </c>
      <c r="N731" s="3" t="str" cm="1">
        <f t="array" ref="N731">_xlfn.IFS(M731&gt;59, "Pension Age", M731&gt;44, "Elderly (45+)", M731&gt;29, "Middle Age (30+)", M731&gt;22, "Adult (23+)", M731&gt;15, "Teen/Young Adult (16+)")</f>
        <v>Elderly (45+)</v>
      </c>
      <c r="O731" s="3" t="s">
        <v>15</v>
      </c>
    </row>
    <row r="732" spans="1:15" x14ac:dyDescent="0.3">
      <c r="A732" s="4">
        <v>24324</v>
      </c>
      <c r="B732" s="3" t="s">
        <v>40</v>
      </c>
      <c r="C732" s="3" t="s">
        <v>41</v>
      </c>
      <c r="D732" s="11">
        <v>60000</v>
      </c>
      <c r="E732" s="9" t="str" cm="1">
        <f t="array" ref="E732">_xlfn.IFS(D732&gt;149000, "Very High", D732&gt;99000, "High", D732&gt;59999, "Average", D732&gt;19999, "Low", D732&gt;0, "Poverty")</f>
        <v>Average</v>
      </c>
      <c r="F732" s="3">
        <v>4</v>
      </c>
      <c r="G732" t="s">
        <v>13</v>
      </c>
      <c r="H732" t="s">
        <v>14</v>
      </c>
      <c r="I732" s="3" t="s">
        <v>15</v>
      </c>
      <c r="J732" s="3">
        <v>2</v>
      </c>
      <c r="K732" t="s">
        <v>22</v>
      </c>
      <c r="L732" t="s">
        <v>32</v>
      </c>
      <c r="M732" s="3">
        <v>41</v>
      </c>
      <c r="N732" s="3" t="str" cm="1">
        <f t="array" ref="N732">_xlfn.IFS(M732&gt;59, "Pension Age", M732&gt;44, "Elderly (45+)", M732&gt;29, "Middle Age (30+)", M732&gt;22, "Adult (23+)", M732&gt;15, "Teen/Young Adult (16+)")</f>
        <v>Middle Age (30+)</v>
      </c>
      <c r="O732" s="3" t="s">
        <v>15</v>
      </c>
    </row>
    <row r="733" spans="1:15" x14ac:dyDescent="0.3">
      <c r="A733" s="4">
        <v>22220</v>
      </c>
      <c r="B733" s="3" t="s">
        <v>39</v>
      </c>
      <c r="C733" s="3" t="s">
        <v>42</v>
      </c>
      <c r="D733" s="11">
        <v>60000</v>
      </c>
      <c r="E733" s="9" t="str" cm="1">
        <f t="array" ref="E733">_xlfn.IFS(D733&gt;149000, "Very High", D733&gt;99000, "High", D733&gt;59999, "Average", D733&gt;19999, "Low", D733&gt;0, "Poverty")</f>
        <v>Average</v>
      </c>
      <c r="F733" s="3">
        <v>2</v>
      </c>
      <c r="G733" t="s">
        <v>27</v>
      </c>
      <c r="H733" t="s">
        <v>21</v>
      </c>
      <c r="I733" s="3" t="s">
        <v>18</v>
      </c>
      <c r="J733" s="3">
        <v>2</v>
      </c>
      <c r="K733" t="s">
        <v>26</v>
      </c>
      <c r="L733" t="s">
        <v>32</v>
      </c>
      <c r="M733" s="3">
        <v>49</v>
      </c>
      <c r="N733" s="3" t="str" cm="1">
        <f t="array" ref="N733">_xlfn.IFS(M733&gt;59, "Pension Age", M733&gt;44, "Elderly (45+)", M733&gt;29, "Middle Age (30+)", M733&gt;22, "Adult (23+)", M733&gt;15, "Teen/Young Adult (16+)")</f>
        <v>Elderly (45+)</v>
      </c>
      <c r="O733" s="3" t="s">
        <v>15</v>
      </c>
    </row>
    <row r="734" spans="1:15" x14ac:dyDescent="0.3">
      <c r="A734" s="4">
        <v>26625</v>
      </c>
      <c r="B734" s="3" t="s">
        <v>40</v>
      </c>
      <c r="C734" s="3" t="s">
        <v>41</v>
      </c>
      <c r="D734" s="11">
        <v>60000</v>
      </c>
      <c r="E734" s="9" t="str" cm="1">
        <f t="array" ref="E734">_xlfn.IFS(D734&gt;149000, "Very High", D734&gt;99000, "High", D734&gt;59999, "Average", D734&gt;19999, "Low", D734&gt;0, "Poverty")</f>
        <v>Average</v>
      </c>
      <c r="F734" s="3">
        <v>0</v>
      </c>
      <c r="G734" t="s">
        <v>31</v>
      </c>
      <c r="H734" t="s">
        <v>21</v>
      </c>
      <c r="I734" s="3" t="s">
        <v>15</v>
      </c>
      <c r="J734" s="3">
        <v>1</v>
      </c>
      <c r="K734" t="s">
        <v>22</v>
      </c>
      <c r="L734" t="s">
        <v>32</v>
      </c>
      <c r="M734" s="3">
        <v>38</v>
      </c>
      <c r="N734" s="3" t="str" cm="1">
        <f t="array" ref="N734">_xlfn.IFS(M734&gt;59, "Pension Age", M734&gt;44, "Elderly (45+)", M734&gt;29, "Middle Age (30+)", M734&gt;22, "Adult (23+)", M734&gt;15, "Teen/Young Adult (16+)")</f>
        <v>Middle Age (30+)</v>
      </c>
      <c r="O734" s="3" t="s">
        <v>15</v>
      </c>
    </row>
    <row r="735" spans="1:15" x14ac:dyDescent="0.3">
      <c r="A735" s="4">
        <v>23027</v>
      </c>
      <c r="B735" s="3" t="s">
        <v>40</v>
      </c>
      <c r="C735" s="3" t="s">
        <v>42</v>
      </c>
      <c r="D735" s="11">
        <v>130000</v>
      </c>
      <c r="E735" s="9" t="str" cm="1">
        <f t="array" ref="E735">_xlfn.IFS(D735&gt;149000, "Very High", D735&gt;99000, "High", D735&gt;59999, "Average", D735&gt;19999, "Low", D735&gt;0, "Poverty")</f>
        <v>High</v>
      </c>
      <c r="F735" s="3">
        <v>1</v>
      </c>
      <c r="G735" t="s">
        <v>13</v>
      </c>
      <c r="H735" t="s">
        <v>28</v>
      </c>
      <c r="I735" s="3" t="s">
        <v>18</v>
      </c>
      <c r="J735" s="3">
        <v>4</v>
      </c>
      <c r="K735" t="s">
        <v>16</v>
      </c>
      <c r="L735" t="s">
        <v>32</v>
      </c>
      <c r="M735" s="3">
        <v>44</v>
      </c>
      <c r="N735" s="3" t="str" cm="1">
        <f t="array" ref="N735">_xlfn.IFS(M735&gt;59, "Pension Age", M735&gt;44, "Elderly (45+)", M735&gt;29, "Middle Age (30+)", M735&gt;22, "Adult (23+)", M735&gt;15, "Teen/Young Adult (16+)")</f>
        <v>Middle Age (30+)</v>
      </c>
      <c r="O735" s="3" t="s">
        <v>18</v>
      </c>
    </row>
    <row r="736" spans="1:15" x14ac:dyDescent="0.3">
      <c r="A736" s="4">
        <v>16867</v>
      </c>
      <c r="B736" s="3" t="s">
        <v>40</v>
      </c>
      <c r="C736" s="3" t="s">
        <v>41</v>
      </c>
      <c r="D736" s="11">
        <v>130000</v>
      </c>
      <c r="E736" s="9" t="str" cm="1">
        <f t="array" ref="E736">_xlfn.IFS(D736&gt;149000, "Very High", D736&gt;99000, "High", D736&gt;59999, "Average", D736&gt;19999, "Low", D736&gt;0, "Poverty")</f>
        <v>High</v>
      </c>
      <c r="F736" s="3">
        <v>1</v>
      </c>
      <c r="G736" t="s">
        <v>13</v>
      </c>
      <c r="H736" t="s">
        <v>28</v>
      </c>
      <c r="I736" s="3" t="s">
        <v>18</v>
      </c>
      <c r="J736" s="3">
        <v>3</v>
      </c>
      <c r="K736" t="s">
        <v>16</v>
      </c>
      <c r="L736" t="s">
        <v>32</v>
      </c>
      <c r="M736" s="3">
        <v>45</v>
      </c>
      <c r="N736" s="3" t="str" cm="1">
        <f t="array" ref="N736">_xlfn.IFS(M736&gt;59, "Pension Age", M736&gt;44, "Elderly (45+)", M736&gt;29, "Middle Age (30+)", M736&gt;22, "Adult (23+)", M736&gt;15, "Teen/Young Adult (16+)")</f>
        <v>Elderly (45+)</v>
      </c>
      <c r="O736" s="3" t="s">
        <v>15</v>
      </c>
    </row>
    <row r="737" spans="1:15" x14ac:dyDescent="0.3">
      <c r="A737" s="4">
        <v>14514</v>
      </c>
      <c r="B737" s="3" t="s">
        <v>40</v>
      </c>
      <c r="C737" s="3" t="s">
        <v>41</v>
      </c>
      <c r="D737" s="11">
        <v>30000</v>
      </c>
      <c r="E737" s="9" t="str" cm="1">
        <f t="array" ref="E737">_xlfn.IFS(D737&gt;149000, "Very High", D737&gt;99000, "High", D737&gt;59999, "Average", D737&gt;19999, "Low", D737&gt;0, "Poverty")</f>
        <v>Low</v>
      </c>
      <c r="F737" s="3">
        <v>0</v>
      </c>
      <c r="G737" t="s">
        <v>19</v>
      </c>
      <c r="H737" t="s">
        <v>14</v>
      </c>
      <c r="I737" s="3" t="s">
        <v>15</v>
      </c>
      <c r="J737" s="3">
        <v>1</v>
      </c>
      <c r="K737" t="s">
        <v>23</v>
      </c>
      <c r="L737" t="s">
        <v>32</v>
      </c>
      <c r="M737" s="3">
        <v>26</v>
      </c>
      <c r="N737" s="3" t="str" cm="1">
        <f t="array" ref="N737">_xlfn.IFS(M737&gt;59, "Pension Age", M737&gt;44, "Elderly (45+)", M737&gt;29, "Middle Age (30+)", M737&gt;22, "Adult (23+)", M737&gt;15, "Teen/Young Adult (16+)")</f>
        <v>Adult (23+)</v>
      </c>
      <c r="O737" s="3" t="s">
        <v>18</v>
      </c>
    </row>
    <row r="738" spans="1:15" x14ac:dyDescent="0.3">
      <c r="A738" s="4">
        <v>19634</v>
      </c>
      <c r="B738" s="3" t="s">
        <v>39</v>
      </c>
      <c r="C738" s="3" t="s">
        <v>42</v>
      </c>
      <c r="D738" s="11">
        <v>40000</v>
      </c>
      <c r="E738" s="9" t="str" cm="1">
        <f t="array" ref="E738">_xlfn.IFS(D738&gt;149000, "Very High", D738&gt;99000, "High", D738&gt;59999, "Average", D738&gt;19999, "Low", D738&gt;0, "Poverty")</f>
        <v>Low</v>
      </c>
      <c r="F738" s="3">
        <v>0</v>
      </c>
      <c r="G738" t="s">
        <v>27</v>
      </c>
      <c r="H738" t="s">
        <v>14</v>
      </c>
      <c r="I738" s="3" t="s">
        <v>15</v>
      </c>
      <c r="J738" s="3">
        <v>1</v>
      </c>
      <c r="K738" t="s">
        <v>23</v>
      </c>
      <c r="L738" t="s">
        <v>32</v>
      </c>
      <c r="M738" s="3">
        <v>31</v>
      </c>
      <c r="N738" s="3" t="str" cm="1">
        <f t="array" ref="N738">_xlfn.IFS(M738&gt;59, "Pension Age", M738&gt;44, "Elderly (45+)", M738&gt;29, "Middle Age (30+)", M738&gt;22, "Adult (23+)", M738&gt;15, "Teen/Young Adult (16+)")</f>
        <v>Middle Age (30+)</v>
      </c>
      <c r="O738" s="3" t="s">
        <v>18</v>
      </c>
    </row>
    <row r="739" spans="1:15" x14ac:dyDescent="0.3">
      <c r="A739" s="4">
        <v>18504</v>
      </c>
      <c r="B739" s="3" t="s">
        <v>39</v>
      </c>
      <c r="C739" s="3" t="s">
        <v>42</v>
      </c>
      <c r="D739" s="11">
        <v>70000</v>
      </c>
      <c r="E739" s="9" t="str" cm="1">
        <f t="array" ref="E739">_xlfn.IFS(D739&gt;149000, "Very High", D739&gt;99000, "High", D739&gt;59999, "Average", D739&gt;19999, "Low", D739&gt;0, "Poverty")</f>
        <v>Average</v>
      </c>
      <c r="F739" s="3">
        <v>2</v>
      </c>
      <c r="G739" t="s">
        <v>29</v>
      </c>
      <c r="H739" t="s">
        <v>14</v>
      </c>
      <c r="I739" s="3" t="s">
        <v>18</v>
      </c>
      <c r="J739" s="3">
        <v>2</v>
      </c>
      <c r="K739" t="s">
        <v>26</v>
      </c>
      <c r="L739" t="s">
        <v>32</v>
      </c>
      <c r="M739" s="3">
        <v>49</v>
      </c>
      <c r="N739" s="3" t="str" cm="1">
        <f t="array" ref="N739">_xlfn.IFS(M739&gt;59, "Pension Age", M739&gt;44, "Elderly (45+)", M739&gt;29, "Middle Age (30+)", M739&gt;22, "Adult (23+)", M739&gt;15, "Teen/Young Adult (16+)")</f>
        <v>Elderly (45+)</v>
      </c>
      <c r="O739" s="3" t="s">
        <v>18</v>
      </c>
    </row>
    <row r="740" spans="1:15" x14ac:dyDescent="0.3">
      <c r="A740" s="4">
        <v>28799</v>
      </c>
      <c r="B740" s="3" t="s">
        <v>40</v>
      </c>
      <c r="C740" s="3" t="s">
        <v>41</v>
      </c>
      <c r="D740" s="11">
        <v>40000</v>
      </c>
      <c r="E740" s="9" t="str" cm="1">
        <f t="array" ref="E740">_xlfn.IFS(D740&gt;149000, "Very High", D740&gt;99000, "High", D740&gt;59999, "Average", D740&gt;19999, "Low", D740&gt;0, "Poverty")</f>
        <v>Low</v>
      </c>
      <c r="F740" s="3">
        <v>2</v>
      </c>
      <c r="G740" t="s">
        <v>19</v>
      </c>
      <c r="H740" t="s">
        <v>20</v>
      </c>
      <c r="I740" s="3" t="s">
        <v>18</v>
      </c>
      <c r="J740" s="3">
        <v>1</v>
      </c>
      <c r="K740" t="s">
        <v>26</v>
      </c>
      <c r="L740" t="s">
        <v>32</v>
      </c>
      <c r="M740" s="3">
        <v>47</v>
      </c>
      <c r="N740" s="3" t="str" cm="1">
        <f t="array" ref="N740">_xlfn.IFS(M740&gt;59, "Pension Age", M740&gt;44, "Elderly (45+)", M740&gt;29, "Middle Age (30+)", M740&gt;22, "Adult (23+)", M740&gt;15, "Teen/Young Adult (16+)")</f>
        <v>Elderly (45+)</v>
      </c>
      <c r="O740" s="3" t="s">
        <v>15</v>
      </c>
    </row>
    <row r="741" spans="1:15" x14ac:dyDescent="0.3">
      <c r="A741" s="4">
        <v>11225</v>
      </c>
      <c r="B741" s="3" t="s">
        <v>39</v>
      </c>
      <c r="C741" s="3" t="s">
        <v>41</v>
      </c>
      <c r="D741" s="11">
        <v>60000</v>
      </c>
      <c r="E741" s="9" t="str" cm="1">
        <f t="array" ref="E741">_xlfn.IFS(D741&gt;149000, "Very High", D741&gt;99000, "High", D741&gt;59999, "Average", D741&gt;19999, "Low", D741&gt;0, "Poverty")</f>
        <v>Average</v>
      </c>
      <c r="F741" s="3">
        <v>2</v>
      </c>
      <c r="G741" t="s">
        <v>19</v>
      </c>
      <c r="H741" t="s">
        <v>21</v>
      </c>
      <c r="I741" s="3" t="s">
        <v>15</v>
      </c>
      <c r="J741" s="3">
        <v>1</v>
      </c>
      <c r="K741" t="s">
        <v>30</v>
      </c>
      <c r="L741" t="s">
        <v>32</v>
      </c>
      <c r="M741" s="3">
        <v>55</v>
      </c>
      <c r="N741" s="3" t="str" cm="1">
        <f t="array" ref="N741">_xlfn.IFS(M741&gt;59, "Pension Age", M741&gt;44, "Elderly (45+)", M741&gt;29, "Middle Age (30+)", M741&gt;22, "Adult (23+)", M741&gt;15, "Teen/Young Adult (16+)")</f>
        <v>Elderly (45+)</v>
      </c>
      <c r="O741" s="3" t="s">
        <v>18</v>
      </c>
    </row>
    <row r="742" spans="1:15" x14ac:dyDescent="0.3">
      <c r="A742" s="4">
        <v>17657</v>
      </c>
      <c r="B742" s="3" t="s">
        <v>39</v>
      </c>
      <c r="C742" s="3" t="s">
        <v>42</v>
      </c>
      <c r="D742" s="11">
        <v>40000</v>
      </c>
      <c r="E742" s="9" t="str" cm="1">
        <f t="array" ref="E742">_xlfn.IFS(D742&gt;149000, "Very High", D742&gt;99000, "High", D742&gt;59999, "Average", D742&gt;19999, "Low", D742&gt;0, "Poverty")</f>
        <v>Low</v>
      </c>
      <c r="F742" s="3">
        <v>4</v>
      </c>
      <c r="G742" t="s">
        <v>19</v>
      </c>
      <c r="H742" t="s">
        <v>20</v>
      </c>
      <c r="I742" s="3" t="s">
        <v>18</v>
      </c>
      <c r="J742" s="3">
        <v>0</v>
      </c>
      <c r="K742" t="s">
        <v>16</v>
      </c>
      <c r="L742" t="s">
        <v>32</v>
      </c>
      <c r="M742" s="3">
        <v>30</v>
      </c>
      <c r="N742" s="3" t="str" cm="1">
        <f t="array" ref="N742">_xlfn.IFS(M742&gt;59, "Pension Age", M742&gt;44, "Elderly (45+)", M742&gt;29, "Middle Age (30+)", M742&gt;22, "Adult (23+)", M742&gt;15, "Teen/Young Adult (16+)")</f>
        <v>Middle Age (30+)</v>
      </c>
      <c r="O742" s="3" t="s">
        <v>18</v>
      </c>
    </row>
    <row r="743" spans="1:15" x14ac:dyDescent="0.3">
      <c r="A743" s="4">
        <v>14913</v>
      </c>
      <c r="B743" s="3" t="s">
        <v>39</v>
      </c>
      <c r="C743" s="3" t="s">
        <v>41</v>
      </c>
      <c r="D743" s="11">
        <v>40000</v>
      </c>
      <c r="E743" s="9" t="str" cm="1">
        <f t="array" ref="E743">_xlfn.IFS(D743&gt;149000, "Very High", D743&gt;99000, "High", D743&gt;59999, "Average", D743&gt;19999, "Low", D743&gt;0, "Poverty")</f>
        <v>Low</v>
      </c>
      <c r="F743" s="3">
        <v>1</v>
      </c>
      <c r="G743" t="s">
        <v>19</v>
      </c>
      <c r="H743" t="s">
        <v>20</v>
      </c>
      <c r="I743" s="3" t="s">
        <v>15</v>
      </c>
      <c r="J743" s="3">
        <v>1</v>
      </c>
      <c r="K743" t="s">
        <v>26</v>
      </c>
      <c r="L743" t="s">
        <v>32</v>
      </c>
      <c r="M743" s="3">
        <v>48</v>
      </c>
      <c r="N743" s="3" t="str" cm="1">
        <f t="array" ref="N743">_xlfn.IFS(M743&gt;59, "Pension Age", M743&gt;44, "Elderly (45+)", M743&gt;29, "Middle Age (30+)", M743&gt;22, "Adult (23+)", M743&gt;15, "Teen/Young Adult (16+)")</f>
        <v>Elderly (45+)</v>
      </c>
      <c r="O743" s="3" t="s">
        <v>15</v>
      </c>
    </row>
    <row r="744" spans="1:15" x14ac:dyDescent="0.3">
      <c r="A744" s="4">
        <v>14077</v>
      </c>
      <c r="B744" s="3" t="s">
        <v>40</v>
      </c>
      <c r="C744" s="3" t="s">
        <v>42</v>
      </c>
      <c r="D744" s="11">
        <v>30000</v>
      </c>
      <c r="E744" s="9" t="str" cm="1">
        <f t="array" ref="E744">_xlfn.IFS(D744&gt;149000, "Very High", D744&gt;99000, "High", D744&gt;59999, "Average", D744&gt;19999, "Low", D744&gt;0, "Poverty")</f>
        <v>Low</v>
      </c>
      <c r="F744" s="3">
        <v>0</v>
      </c>
      <c r="G744" t="s">
        <v>27</v>
      </c>
      <c r="H744" t="s">
        <v>14</v>
      </c>
      <c r="I744" s="3" t="s">
        <v>15</v>
      </c>
      <c r="J744" s="3">
        <v>2</v>
      </c>
      <c r="K744" t="s">
        <v>23</v>
      </c>
      <c r="L744" t="s">
        <v>32</v>
      </c>
      <c r="M744" s="3">
        <v>30</v>
      </c>
      <c r="N744" s="3" t="str" cm="1">
        <f t="array" ref="N744">_xlfn.IFS(M744&gt;59, "Pension Age", M744&gt;44, "Elderly (45+)", M744&gt;29, "Middle Age (30+)", M744&gt;22, "Adult (23+)", M744&gt;15, "Teen/Young Adult (16+)")</f>
        <v>Middle Age (30+)</v>
      </c>
      <c r="O744" s="3" t="s">
        <v>18</v>
      </c>
    </row>
    <row r="745" spans="1:15" x14ac:dyDescent="0.3">
      <c r="A745" s="4">
        <v>13296</v>
      </c>
      <c r="B745" s="3" t="s">
        <v>39</v>
      </c>
      <c r="C745" s="3" t="s">
        <v>42</v>
      </c>
      <c r="D745" s="11">
        <v>110000</v>
      </c>
      <c r="E745" s="9" t="str" cm="1">
        <f t="array" ref="E745">_xlfn.IFS(D745&gt;149000, "Very High", D745&gt;99000, "High", D745&gt;59999, "Average", D745&gt;19999, "Low", D745&gt;0, "Poverty")</f>
        <v>High</v>
      </c>
      <c r="F745" s="3">
        <v>1</v>
      </c>
      <c r="G745" t="s">
        <v>13</v>
      </c>
      <c r="H745" t="s">
        <v>28</v>
      </c>
      <c r="I745" s="3" t="s">
        <v>15</v>
      </c>
      <c r="J745" s="3">
        <v>3</v>
      </c>
      <c r="K745" t="s">
        <v>23</v>
      </c>
      <c r="L745" t="s">
        <v>32</v>
      </c>
      <c r="M745" s="3">
        <v>45</v>
      </c>
      <c r="N745" s="3" t="str" cm="1">
        <f t="array" ref="N745">_xlfn.IFS(M745&gt;59, "Pension Age", M745&gt;44, "Elderly (45+)", M745&gt;29, "Middle Age (30+)", M745&gt;22, "Adult (23+)", M745&gt;15, "Teen/Young Adult (16+)")</f>
        <v>Elderly (45+)</v>
      </c>
      <c r="O745" s="3" t="s">
        <v>18</v>
      </c>
    </row>
    <row r="746" spans="1:15" x14ac:dyDescent="0.3">
      <c r="A746" s="4">
        <v>20535</v>
      </c>
      <c r="B746" s="3" t="s">
        <v>39</v>
      </c>
      <c r="C746" s="3" t="s">
        <v>41</v>
      </c>
      <c r="D746" s="11">
        <v>70000</v>
      </c>
      <c r="E746" s="9" t="str" cm="1">
        <f t="array" ref="E746">_xlfn.IFS(D746&gt;149000, "Very High", D746&gt;99000, "High", D746&gt;59999, "Average", D746&gt;19999, "Low", D746&gt;0, "Poverty")</f>
        <v>Average</v>
      </c>
      <c r="F746" s="3">
        <v>4</v>
      </c>
      <c r="G746" t="s">
        <v>19</v>
      </c>
      <c r="H746" t="s">
        <v>21</v>
      </c>
      <c r="I746" s="3" t="s">
        <v>15</v>
      </c>
      <c r="J746" s="3">
        <v>1</v>
      </c>
      <c r="K746" t="s">
        <v>30</v>
      </c>
      <c r="L746" t="s">
        <v>32</v>
      </c>
      <c r="M746" s="3">
        <v>56</v>
      </c>
      <c r="N746" s="3" t="str" cm="1">
        <f t="array" ref="N746">_xlfn.IFS(M746&gt;59, "Pension Age", M746&gt;44, "Elderly (45+)", M746&gt;29, "Middle Age (30+)", M746&gt;22, "Adult (23+)", M746&gt;15, "Teen/Young Adult (16+)")</f>
        <v>Elderly (45+)</v>
      </c>
      <c r="O746" s="3" t="s">
        <v>18</v>
      </c>
    </row>
    <row r="747" spans="1:15" x14ac:dyDescent="0.3">
      <c r="A747" s="4">
        <v>12452</v>
      </c>
      <c r="B747" s="3" t="s">
        <v>39</v>
      </c>
      <c r="C747" s="3" t="s">
        <v>42</v>
      </c>
      <c r="D747" s="11">
        <v>60000</v>
      </c>
      <c r="E747" s="9" t="str" cm="1">
        <f t="array" ref="E747">_xlfn.IFS(D747&gt;149000, "Very High", D747&gt;99000, "High", D747&gt;59999, "Average", D747&gt;19999, "Low", D747&gt;0, "Poverty")</f>
        <v>Average</v>
      </c>
      <c r="F747" s="3">
        <v>4</v>
      </c>
      <c r="G747" t="s">
        <v>31</v>
      </c>
      <c r="H747" t="s">
        <v>14</v>
      </c>
      <c r="I747" s="3" t="s">
        <v>15</v>
      </c>
      <c r="J747" s="3">
        <v>0</v>
      </c>
      <c r="K747" t="s">
        <v>26</v>
      </c>
      <c r="L747" t="s">
        <v>32</v>
      </c>
      <c r="M747" s="3">
        <v>47</v>
      </c>
      <c r="N747" s="3" t="str" cm="1">
        <f t="array" ref="N747">_xlfn.IFS(M747&gt;59, "Pension Age", M747&gt;44, "Elderly (45+)", M747&gt;29, "Middle Age (30+)", M747&gt;22, "Adult (23+)", M747&gt;15, "Teen/Young Adult (16+)")</f>
        <v>Elderly (45+)</v>
      </c>
      <c r="O747" s="3" t="s">
        <v>15</v>
      </c>
    </row>
    <row r="748" spans="1:15" x14ac:dyDescent="0.3">
      <c r="A748" s="4">
        <v>28043</v>
      </c>
      <c r="B748" s="3" t="s">
        <v>39</v>
      </c>
      <c r="C748" s="3" t="s">
        <v>41</v>
      </c>
      <c r="D748" s="11">
        <v>60000</v>
      </c>
      <c r="E748" s="9" t="str" cm="1">
        <f t="array" ref="E748">_xlfn.IFS(D748&gt;149000, "Very High", D748&gt;99000, "High", D748&gt;59999, "Average", D748&gt;19999, "Low", D748&gt;0, "Poverty")</f>
        <v>Average</v>
      </c>
      <c r="F748" s="3">
        <v>2</v>
      </c>
      <c r="G748" t="s">
        <v>13</v>
      </c>
      <c r="H748" t="s">
        <v>28</v>
      </c>
      <c r="I748" s="3" t="s">
        <v>15</v>
      </c>
      <c r="J748" s="3">
        <v>0</v>
      </c>
      <c r="K748" t="s">
        <v>30</v>
      </c>
      <c r="L748" t="s">
        <v>32</v>
      </c>
      <c r="M748" s="3">
        <v>56</v>
      </c>
      <c r="N748" s="3" t="str" cm="1">
        <f t="array" ref="N748">_xlfn.IFS(M748&gt;59, "Pension Age", M748&gt;44, "Elderly (45+)", M748&gt;29, "Middle Age (30+)", M748&gt;22, "Adult (23+)", M748&gt;15, "Teen/Young Adult (16+)")</f>
        <v>Elderly (45+)</v>
      </c>
      <c r="O748" s="3" t="s">
        <v>18</v>
      </c>
    </row>
    <row r="749" spans="1:15" x14ac:dyDescent="0.3">
      <c r="A749" s="4">
        <v>12957</v>
      </c>
      <c r="B749" s="3" t="s">
        <v>40</v>
      </c>
      <c r="C749" s="3" t="s">
        <v>41</v>
      </c>
      <c r="D749" s="11">
        <v>70000</v>
      </c>
      <c r="E749" s="9" t="str" cm="1">
        <f t="array" ref="E749">_xlfn.IFS(D749&gt;149000, "Very High", D749&gt;99000, "High", D749&gt;59999, "Average", D749&gt;19999, "Low", D749&gt;0, "Poverty")</f>
        <v>Average</v>
      </c>
      <c r="F749" s="3">
        <v>1</v>
      </c>
      <c r="G749" t="s">
        <v>13</v>
      </c>
      <c r="H749" t="s">
        <v>21</v>
      </c>
      <c r="I749" s="3" t="s">
        <v>18</v>
      </c>
      <c r="J749" s="3">
        <v>1</v>
      </c>
      <c r="K749" t="s">
        <v>16</v>
      </c>
      <c r="L749" t="s">
        <v>32</v>
      </c>
      <c r="M749" s="3">
        <v>44</v>
      </c>
      <c r="N749" s="3" t="str" cm="1">
        <f t="array" ref="N749">_xlfn.IFS(M749&gt;59, "Pension Age", M749&gt;44, "Elderly (45+)", M749&gt;29, "Middle Age (30+)", M749&gt;22, "Adult (23+)", M749&gt;15, "Teen/Young Adult (16+)")</f>
        <v>Middle Age (30+)</v>
      </c>
      <c r="O749" s="3" t="s">
        <v>18</v>
      </c>
    </row>
    <row r="750" spans="1:15" x14ac:dyDescent="0.3">
      <c r="A750" s="4">
        <v>15412</v>
      </c>
      <c r="B750" s="3" t="s">
        <v>39</v>
      </c>
      <c r="C750" s="3" t="s">
        <v>42</v>
      </c>
      <c r="D750" s="11">
        <v>130000</v>
      </c>
      <c r="E750" s="9" t="str" cm="1">
        <f t="array" ref="E750">_xlfn.IFS(D750&gt;149000, "Very High", D750&gt;99000, "High", D750&gt;59999, "Average", D750&gt;19999, "Low", D750&gt;0, "Poverty")</f>
        <v>High</v>
      </c>
      <c r="F750" s="3">
        <v>2</v>
      </c>
      <c r="G750" t="s">
        <v>31</v>
      </c>
      <c r="H750" t="s">
        <v>28</v>
      </c>
      <c r="I750" s="3" t="s">
        <v>15</v>
      </c>
      <c r="J750" s="3">
        <v>3</v>
      </c>
      <c r="K750" t="s">
        <v>22</v>
      </c>
      <c r="L750" t="s">
        <v>32</v>
      </c>
      <c r="M750" s="3">
        <v>69</v>
      </c>
      <c r="N750" s="3" t="str" cm="1">
        <f t="array" ref="N750">_xlfn.IFS(M750&gt;59, "Pension Age", M750&gt;44, "Elderly (45+)", M750&gt;29, "Middle Age (30+)", M750&gt;22, "Adult (23+)", M750&gt;15, "Teen/Young Adult (16+)")</f>
        <v>Pension Age</v>
      </c>
      <c r="O750" s="3" t="s">
        <v>18</v>
      </c>
    </row>
    <row r="751" spans="1:15" x14ac:dyDescent="0.3">
      <c r="A751" s="4">
        <v>20514</v>
      </c>
      <c r="B751" s="3" t="s">
        <v>39</v>
      </c>
      <c r="C751" s="3" t="s">
        <v>41</v>
      </c>
      <c r="D751" s="11">
        <v>70000</v>
      </c>
      <c r="E751" s="9" t="str" cm="1">
        <f t="array" ref="E751">_xlfn.IFS(D751&gt;149000, "Very High", D751&gt;99000, "High", D751&gt;59999, "Average", D751&gt;19999, "Low", D751&gt;0, "Poverty")</f>
        <v>Average</v>
      </c>
      <c r="F751" s="3">
        <v>2</v>
      </c>
      <c r="G751" t="s">
        <v>19</v>
      </c>
      <c r="H751" t="s">
        <v>21</v>
      </c>
      <c r="I751" s="3" t="s">
        <v>15</v>
      </c>
      <c r="J751" s="3">
        <v>1</v>
      </c>
      <c r="K751" t="s">
        <v>22</v>
      </c>
      <c r="L751" t="s">
        <v>32</v>
      </c>
      <c r="M751" s="3">
        <v>59</v>
      </c>
      <c r="N751" s="3" t="str" cm="1">
        <f t="array" ref="N751">_xlfn.IFS(M751&gt;59, "Pension Age", M751&gt;44, "Elderly (45+)", M751&gt;29, "Middle Age (30+)", M751&gt;22, "Adult (23+)", M751&gt;15, "Teen/Young Adult (16+)")</f>
        <v>Elderly (45+)</v>
      </c>
      <c r="O751" s="3" t="s">
        <v>18</v>
      </c>
    </row>
    <row r="752" spans="1:15" x14ac:dyDescent="0.3">
      <c r="A752" s="4">
        <v>20758</v>
      </c>
      <c r="B752" s="3" t="s">
        <v>39</v>
      </c>
      <c r="C752" s="3" t="s">
        <v>42</v>
      </c>
      <c r="D752" s="11">
        <v>30000</v>
      </c>
      <c r="E752" s="9" t="str" cm="1">
        <f t="array" ref="E752">_xlfn.IFS(D752&gt;149000, "Very High", D752&gt;99000, "High", D752&gt;59999, "Average", D752&gt;19999, "Low", D752&gt;0, "Poverty")</f>
        <v>Low</v>
      </c>
      <c r="F752" s="3">
        <v>2</v>
      </c>
      <c r="G752" t="s">
        <v>27</v>
      </c>
      <c r="H752" t="s">
        <v>14</v>
      </c>
      <c r="I752" s="3" t="s">
        <v>15</v>
      </c>
      <c r="J752" s="3">
        <v>2</v>
      </c>
      <c r="K752" t="s">
        <v>26</v>
      </c>
      <c r="L752" t="s">
        <v>32</v>
      </c>
      <c r="M752" s="3">
        <v>50</v>
      </c>
      <c r="N752" s="3" t="str" cm="1">
        <f t="array" ref="N752">_xlfn.IFS(M752&gt;59, "Pension Age", M752&gt;44, "Elderly (45+)", M752&gt;29, "Middle Age (30+)", M752&gt;22, "Adult (23+)", M752&gt;15, "Teen/Young Adult (16+)")</f>
        <v>Elderly (45+)</v>
      </c>
      <c r="O752" s="3" t="s">
        <v>18</v>
      </c>
    </row>
    <row r="753" spans="1:15" x14ac:dyDescent="0.3">
      <c r="A753" s="4">
        <v>11801</v>
      </c>
      <c r="B753" s="3" t="s">
        <v>39</v>
      </c>
      <c r="C753" s="3" t="s">
        <v>42</v>
      </c>
      <c r="D753" s="11">
        <v>60000</v>
      </c>
      <c r="E753" s="9" t="str" cm="1">
        <f t="array" ref="E753">_xlfn.IFS(D753&gt;149000, "Very High", D753&gt;99000, "High", D753&gt;59999, "Average", D753&gt;19999, "Low", D753&gt;0, "Poverty")</f>
        <v>Average</v>
      </c>
      <c r="F753" s="3">
        <v>1</v>
      </c>
      <c r="G753" t="s">
        <v>31</v>
      </c>
      <c r="H753" t="s">
        <v>21</v>
      </c>
      <c r="I753" s="3" t="s">
        <v>15</v>
      </c>
      <c r="J753" s="3">
        <v>0</v>
      </c>
      <c r="K753" t="s">
        <v>22</v>
      </c>
      <c r="L753" t="s">
        <v>32</v>
      </c>
      <c r="M753" s="3">
        <v>36</v>
      </c>
      <c r="N753" s="3" t="str" cm="1">
        <f t="array" ref="N753">_xlfn.IFS(M753&gt;59, "Pension Age", M753&gt;44, "Elderly (45+)", M753&gt;29, "Middle Age (30+)", M753&gt;22, "Adult (23+)", M753&gt;15, "Teen/Young Adult (16+)")</f>
        <v>Middle Age (30+)</v>
      </c>
      <c r="O753" s="3" t="s">
        <v>18</v>
      </c>
    </row>
    <row r="754" spans="1:15" x14ac:dyDescent="0.3">
      <c r="A754" s="4">
        <v>22211</v>
      </c>
      <c r="B754" s="3" t="s">
        <v>39</v>
      </c>
      <c r="C754" s="3" t="s">
        <v>42</v>
      </c>
      <c r="D754" s="11">
        <v>60000</v>
      </c>
      <c r="E754" s="9" t="str" cm="1">
        <f t="array" ref="E754">_xlfn.IFS(D754&gt;149000, "Very High", D754&gt;99000, "High", D754&gt;59999, "Average", D754&gt;19999, "Low", D754&gt;0, "Poverty")</f>
        <v>Average</v>
      </c>
      <c r="F754" s="3">
        <v>0</v>
      </c>
      <c r="G754" t="s">
        <v>19</v>
      </c>
      <c r="H754" t="s">
        <v>21</v>
      </c>
      <c r="I754" s="3" t="s">
        <v>15</v>
      </c>
      <c r="J754" s="3">
        <v>2</v>
      </c>
      <c r="K754" t="s">
        <v>23</v>
      </c>
      <c r="L754" t="s">
        <v>32</v>
      </c>
      <c r="M754" s="3">
        <v>32</v>
      </c>
      <c r="N754" s="3" t="str" cm="1">
        <f t="array" ref="N754">_xlfn.IFS(M754&gt;59, "Pension Age", M754&gt;44, "Elderly (45+)", M754&gt;29, "Middle Age (30+)", M754&gt;22, "Adult (23+)", M754&gt;15, "Teen/Young Adult (16+)")</f>
        <v>Middle Age (30+)</v>
      </c>
      <c r="O754" s="3" t="s">
        <v>18</v>
      </c>
    </row>
    <row r="755" spans="1:15" x14ac:dyDescent="0.3">
      <c r="A755" s="4">
        <v>28087</v>
      </c>
      <c r="B755" s="3" t="s">
        <v>40</v>
      </c>
      <c r="C755" s="3" t="s">
        <v>41</v>
      </c>
      <c r="D755" s="11">
        <v>40000</v>
      </c>
      <c r="E755" s="9" t="str" cm="1">
        <f t="array" ref="E755">_xlfn.IFS(D755&gt;149000, "Very High", D755&gt;99000, "High", D755&gt;59999, "Average", D755&gt;19999, "Low", D755&gt;0, "Poverty")</f>
        <v>Low</v>
      </c>
      <c r="F755" s="3">
        <v>0</v>
      </c>
      <c r="G755" t="s">
        <v>19</v>
      </c>
      <c r="H755" t="s">
        <v>14</v>
      </c>
      <c r="I755" s="3" t="s">
        <v>18</v>
      </c>
      <c r="J755" s="3">
        <v>1</v>
      </c>
      <c r="K755" t="s">
        <v>26</v>
      </c>
      <c r="L755" t="s">
        <v>32</v>
      </c>
      <c r="M755" s="3">
        <v>27</v>
      </c>
      <c r="N755" s="3" t="str" cm="1">
        <f t="array" ref="N755">_xlfn.IFS(M755&gt;59, "Pension Age", M755&gt;44, "Elderly (45+)", M755&gt;29, "Middle Age (30+)", M755&gt;22, "Adult (23+)", M755&gt;15, "Teen/Young Adult (16+)")</f>
        <v>Adult (23+)</v>
      </c>
      <c r="O755" s="3" t="s">
        <v>18</v>
      </c>
    </row>
    <row r="756" spans="1:15" x14ac:dyDescent="0.3">
      <c r="A756" s="4">
        <v>23668</v>
      </c>
      <c r="B756" s="3" t="s">
        <v>39</v>
      </c>
      <c r="C756" s="3" t="s">
        <v>41</v>
      </c>
      <c r="D756" s="11">
        <v>40000</v>
      </c>
      <c r="E756" s="9" t="str" cm="1">
        <f t="array" ref="E756">_xlfn.IFS(D756&gt;149000, "Very High", D756&gt;99000, "High", D756&gt;59999, "Average", D756&gt;19999, "Low", D756&gt;0, "Poverty")</f>
        <v>Low</v>
      </c>
      <c r="F756" s="3">
        <v>4</v>
      </c>
      <c r="G756" t="s">
        <v>27</v>
      </c>
      <c r="H756" t="s">
        <v>21</v>
      </c>
      <c r="I756" s="3" t="s">
        <v>15</v>
      </c>
      <c r="J756" s="3">
        <v>2</v>
      </c>
      <c r="K756" t="s">
        <v>23</v>
      </c>
      <c r="L756" t="s">
        <v>32</v>
      </c>
      <c r="M756" s="3">
        <v>59</v>
      </c>
      <c r="N756" s="3" t="str" cm="1">
        <f t="array" ref="N756">_xlfn.IFS(M756&gt;59, "Pension Age", M756&gt;44, "Elderly (45+)", M756&gt;29, "Middle Age (30+)", M756&gt;22, "Adult (23+)", M756&gt;15, "Teen/Young Adult (16+)")</f>
        <v>Elderly (45+)</v>
      </c>
      <c r="O756" s="3" t="s">
        <v>15</v>
      </c>
    </row>
    <row r="757" spans="1:15" x14ac:dyDescent="0.3">
      <c r="A757" s="4">
        <v>27441</v>
      </c>
      <c r="B757" s="3" t="s">
        <v>39</v>
      </c>
      <c r="C757" s="3" t="s">
        <v>42</v>
      </c>
      <c r="D757" s="11">
        <v>60000</v>
      </c>
      <c r="E757" s="9" t="str" cm="1">
        <f t="array" ref="E757">_xlfn.IFS(D757&gt;149000, "Very High", D757&gt;99000, "High", D757&gt;59999, "Average", D757&gt;19999, "Low", D757&gt;0, "Poverty")</f>
        <v>Average</v>
      </c>
      <c r="F757" s="3">
        <v>3</v>
      </c>
      <c r="G757" t="s">
        <v>27</v>
      </c>
      <c r="H757" t="s">
        <v>21</v>
      </c>
      <c r="I757" s="3" t="s">
        <v>18</v>
      </c>
      <c r="J757" s="3">
        <v>2</v>
      </c>
      <c r="K757" t="s">
        <v>22</v>
      </c>
      <c r="L757" t="s">
        <v>32</v>
      </c>
      <c r="M757" s="3">
        <v>53</v>
      </c>
      <c r="N757" s="3" t="str" cm="1">
        <f t="array" ref="N757">_xlfn.IFS(M757&gt;59, "Pension Age", M757&gt;44, "Elderly (45+)", M757&gt;29, "Middle Age (30+)", M757&gt;22, "Adult (23+)", M757&gt;15, "Teen/Young Adult (16+)")</f>
        <v>Elderly (45+)</v>
      </c>
      <c r="O757" s="3" t="s">
        <v>18</v>
      </c>
    </row>
    <row r="758" spans="1:15" x14ac:dyDescent="0.3">
      <c r="A758" s="4">
        <v>27261</v>
      </c>
      <c r="B758" s="3" t="s">
        <v>39</v>
      </c>
      <c r="C758" s="3" t="s">
        <v>42</v>
      </c>
      <c r="D758" s="11">
        <v>40000</v>
      </c>
      <c r="E758" s="9" t="str" cm="1">
        <f t="array" ref="E758">_xlfn.IFS(D758&gt;149000, "Very High", D758&gt;99000, "High", D758&gt;59999, "Average", D758&gt;19999, "Low", D758&gt;0, "Poverty")</f>
        <v>Low</v>
      </c>
      <c r="F758" s="3">
        <v>1</v>
      </c>
      <c r="G758" t="s">
        <v>13</v>
      </c>
      <c r="H758" t="s">
        <v>14</v>
      </c>
      <c r="I758" s="3" t="s">
        <v>18</v>
      </c>
      <c r="J758" s="3">
        <v>1</v>
      </c>
      <c r="K758" t="s">
        <v>16</v>
      </c>
      <c r="L758" t="s">
        <v>32</v>
      </c>
      <c r="M758" s="3">
        <v>36</v>
      </c>
      <c r="N758" s="3" t="str" cm="1">
        <f t="array" ref="N758">_xlfn.IFS(M758&gt;59, "Pension Age", M758&gt;44, "Elderly (45+)", M758&gt;29, "Middle Age (30+)", M758&gt;22, "Adult (23+)", M758&gt;15, "Teen/Young Adult (16+)")</f>
        <v>Middle Age (30+)</v>
      </c>
      <c r="O758" s="3" t="s">
        <v>15</v>
      </c>
    </row>
    <row r="759" spans="1:15" x14ac:dyDescent="0.3">
      <c r="A759" s="4">
        <v>18649</v>
      </c>
      <c r="B759" s="3" t="s">
        <v>40</v>
      </c>
      <c r="C759" s="3" t="s">
        <v>42</v>
      </c>
      <c r="D759" s="11">
        <v>30000</v>
      </c>
      <c r="E759" s="9" t="str" cm="1">
        <f t="array" ref="E759">_xlfn.IFS(D759&gt;149000, "Very High", D759&gt;99000, "High", D759&gt;59999, "Average", D759&gt;19999, "Low", D759&gt;0, "Poverty")</f>
        <v>Low</v>
      </c>
      <c r="F759" s="3">
        <v>1</v>
      </c>
      <c r="G759" t="s">
        <v>27</v>
      </c>
      <c r="H759" t="s">
        <v>20</v>
      </c>
      <c r="I759" s="3" t="s">
        <v>15</v>
      </c>
      <c r="J759" s="3">
        <v>2</v>
      </c>
      <c r="K759" t="s">
        <v>26</v>
      </c>
      <c r="L759" t="s">
        <v>32</v>
      </c>
      <c r="M759" s="3">
        <v>51</v>
      </c>
      <c r="N759" s="3" t="str" cm="1">
        <f t="array" ref="N759">_xlfn.IFS(M759&gt;59, "Pension Age", M759&gt;44, "Elderly (45+)", M759&gt;29, "Middle Age (30+)", M759&gt;22, "Adult (23+)", M759&gt;15, "Teen/Young Adult (16+)")</f>
        <v>Elderly (45+)</v>
      </c>
      <c r="O759" s="3" t="s">
        <v>15</v>
      </c>
    </row>
    <row r="760" spans="1:15" x14ac:dyDescent="0.3">
      <c r="A760" s="4">
        <v>21714</v>
      </c>
      <c r="B760" s="3" t="s">
        <v>40</v>
      </c>
      <c r="C760" s="3" t="s">
        <v>41</v>
      </c>
      <c r="D760" s="11">
        <v>80000</v>
      </c>
      <c r="E760" s="9" t="str" cm="1">
        <f t="array" ref="E760">_xlfn.IFS(D760&gt;149000, "Very High", D760&gt;99000, "High", D760&gt;59999, "Average", D760&gt;19999, "Low", D760&gt;0, "Poverty")</f>
        <v>Average</v>
      </c>
      <c r="F760" s="3">
        <v>5</v>
      </c>
      <c r="G760" t="s">
        <v>31</v>
      </c>
      <c r="H760" t="s">
        <v>14</v>
      </c>
      <c r="I760" s="3" t="s">
        <v>18</v>
      </c>
      <c r="J760" s="3">
        <v>0</v>
      </c>
      <c r="K760" t="s">
        <v>16</v>
      </c>
      <c r="L760" t="s">
        <v>32</v>
      </c>
      <c r="M760" s="3">
        <v>47</v>
      </c>
      <c r="N760" s="3" t="str" cm="1">
        <f t="array" ref="N760">_xlfn.IFS(M760&gt;59, "Pension Age", M760&gt;44, "Elderly (45+)", M760&gt;29, "Middle Age (30+)", M760&gt;22, "Adult (23+)", M760&gt;15, "Teen/Young Adult (16+)")</f>
        <v>Elderly (45+)</v>
      </c>
      <c r="O760" s="3" t="s">
        <v>18</v>
      </c>
    </row>
    <row r="761" spans="1:15" x14ac:dyDescent="0.3">
      <c r="A761" s="4">
        <v>23217</v>
      </c>
      <c r="B761" s="3" t="s">
        <v>40</v>
      </c>
      <c r="C761" s="3" t="s">
        <v>41</v>
      </c>
      <c r="D761" s="11">
        <v>60000</v>
      </c>
      <c r="E761" s="9" t="str" cm="1">
        <f t="array" ref="E761">_xlfn.IFS(D761&gt;149000, "Very High", D761&gt;99000, "High", D761&gt;59999, "Average", D761&gt;19999, "Low", D761&gt;0, "Poverty")</f>
        <v>Average</v>
      </c>
      <c r="F761" s="3">
        <v>3</v>
      </c>
      <c r="G761" t="s">
        <v>31</v>
      </c>
      <c r="H761" t="s">
        <v>21</v>
      </c>
      <c r="I761" s="3" t="s">
        <v>15</v>
      </c>
      <c r="J761" s="3">
        <v>0</v>
      </c>
      <c r="K761" t="s">
        <v>22</v>
      </c>
      <c r="L761" t="s">
        <v>32</v>
      </c>
      <c r="M761" s="3">
        <v>43</v>
      </c>
      <c r="N761" s="3" t="str" cm="1">
        <f t="array" ref="N761">_xlfn.IFS(M761&gt;59, "Pension Age", M761&gt;44, "Elderly (45+)", M761&gt;29, "Middle Age (30+)", M761&gt;22, "Adult (23+)", M761&gt;15, "Teen/Young Adult (16+)")</f>
        <v>Middle Age (30+)</v>
      </c>
      <c r="O761" s="3" t="s">
        <v>15</v>
      </c>
    </row>
    <row r="762" spans="1:15" x14ac:dyDescent="0.3">
      <c r="A762" s="4">
        <v>23797</v>
      </c>
      <c r="B762" s="3" t="s">
        <v>40</v>
      </c>
      <c r="C762" s="3" t="s">
        <v>42</v>
      </c>
      <c r="D762" s="11">
        <v>20000</v>
      </c>
      <c r="E762" s="9" t="str" cm="1">
        <f t="array" ref="E762">_xlfn.IFS(D762&gt;149000, "Very High", D762&gt;99000, "High", D762&gt;59999, "Average", D762&gt;19999, "Low", D762&gt;0, "Poverty")</f>
        <v>Low</v>
      </c>
      <c r="F762" s="3">
        <v>3</v>
      </c>
      <c r="G762" t="s">
        <v>29</v>
      </c>
      <c r="H762" t="s">
        <v>20</v>
      </c>
      <c r="I762" s="3" t="s">
        <v>18</v>
      </c>
      <c r="J762" s="3">
        <v>2</v>
      </c>
      <c r="K762" t="s">
        <v>16</v>
      </c>
      <c r="L762" t="s">
        <v>32</v>
      </c>
      <c r="M762" s="3">
        <v>50</v>
      </c>
      <c r="N762" s="3" t="str" cm="1">
        <f t="array" ref="N762">_xlfn.IFS(M762&gt;59, "Pension Age", M762&gt;44, "Elderly (45+)", M762&gt;29, "Middle Age (30+)", M762&gt;22, "Adult (23+)", M762&gt;15, "Teen/Young Adult (16+)")</f>
        <v>Elderly (45+)</v>
      </c>
      <c r="O762" s="3" t="s">
        <v>18</v>
      </c>
    </row>
    <row r="763" spans="1:15" x14ac:dyDescent="0.3">
      <c r="A763" s="4">
        <v>13216</v>
      </c>
      <c r="B763" s="3" t="s">
        <v>39</v>
      </c>
      <c r="C763" s="3" t="s">
        <v>41</v>
      </c>
      <c r="D763" s="11">
        <v>60000</v>
      </c>
      <c r="E763" s="9" t="str" cm="1">
        <f t="array" ref="E763">_xlfn.IFS(D763&gt;149000, "Very High", D763&gt;99000, "High", D763&gt;59999, "Average", D763&gt;19999, "Low", D763&gt;0, "Poverty")</f>
        <v>Average</v>
      </c>
      <c r="F763" s="3">
        <v>5</v>
      </c>
      <c r="G763" t="s">
        <v>13</v>
      </c>
      <c r="H763" t="s">
        <v>28</v>
      </c>
      <c r="I763" s="3" t="s">
        <v>15</v>
      </c>
      <c r="J763" s="3">
        <v>3</v>
      </c>
      <c r="K763" t="s">
        <v>30</v>
      </c>
      <c r="L763" t="s">
        <v>32</v>
      </c>
      <c r="M763" s="3">
        <v>59</v>
      </c>
      <c r="N763" s="3" t="str" cm="1">
        <f t="array" ref="N763">_xlfn.IFS(M763&gt;59, "Pension Age", M763&gt;44, "Elderly (45+)", M763&gt;29, "Middle Age (30+)", M763&gt;22, "Adult (23+)", M763&gt;15, "Teen/Young Adult (16+)")</f>
        <v>Elderly (45+)</v>
      </c>
      <c r="O763" s="3" t="s">
        <v>18</v>
      </c>
    </row>
    <row r="764" spans="1:15" x14ac:dyDescent="0.3">
      <c r="A764" s="4">
        <v>20657</v>
      </c>
      <c r="B764" s="3" t="s">
        <v>40</v>
      </c>
      <c r="C764" s="3" t="s">
        <v>42</v>
      </c>
      <c r="D764" s="11">
        <v>50000</v>
      </c>
      <c r="E764" s="9" t="str" cm="1">
        <f t="array" ref="E764">_xlfn.IFS(D764&gt;149000, "Very High", D764&gt;99000, "High", D764&gt;59999, "Average", D764&gt;19999, "Low", D764&gt;0, "Poverty")</f>
        <v>Low</v>
      </c>
      <c r="F764" s="3">
        <v>2</v>
      </c>
      <c r="G764" t="s">
        <v>13</v>
      </c>
      <c r="H764" t="s">
        <v>14</v>
      </c>
      <c r="I764" s="3" t="s">
        <v>15</v>
      </c>
      <c r="J764" s="3">
        <v>0</v>
      </c>
      <c r="K764" t="s">
        <v>22</v>
      </c>
      <c r="L764" t="s">
        <v>32</v>
      </c>
      <c r="M764" s="3">
        <v>37</v>
      </c>
      <c r="N764" s="3" t="str" cm="1">
        <f t="array" ref="N764">_xlfn.IFS(M764&gt;59, "Pension Age", M764&gt;44, "Elderly (45+)", M764&gt;29, "Middle Age (30+)", M764&gt;22, "Adult (23+)", M764&gt;15, "Teen/Young Adult (16+)")</f>
        <v>Middle Age (30+)</v>
      </c>
      <c r="O764" s="3" t="s">
        <v>15</v>
      </c>
    </row>
    <row r="765" spans="1:15" x14ac:dyDescent="0.3">
      <c r="A765" s="4">
        <v>12882</v>
      </c>
      <c r="B765" s="3" t="s">
        <v>39</v>
      </c>
      <c r="C765" s="3" t="s">
        <v>42</v>
      </c>
      <c r="D765" s="11">
        <v>50000</v>
      </c>
      <c r="E765" s="9" t="str" cm="1">
        <f t="array" ref="E765">_xlfn.IFS(D765&gt;149000, "Very High", D765&gt;99000, "High", D765&gt;59999, "Average", D765&gt;19999, "Low", D765&gt;0, "Poverty")</f>
        <v>Low</v>
      </c>
      <c r="F765" s="3">
        <v>1</v>
      </c>
      <c r="G765" t="s">
        <v>31</v>
      </c>
      <c r="H765" t="s">
        <v>14</v>
      </c>
      <c r="I765" s="3" t="s">
        <v>15</v>
      </c>
      <c r="J765" s="3">
        <v>0</v>
      </c>
      <c r="K765" t="s">
        <v>16</v>
      </c>
      <c r="L765" t="s">
        <v>32</v>
      </c>
      <c r="M765" s="3">
        <v>33</v>
      </c>
      <c r="N765" s="3" t="str" cm="1">
        <f t="array" ref="N765">_xlfn.IFS(M765&gt;59, "Pension Age", M765&gt;44, "Elderly (45+)", M765&gt;29, "Middle Age (30+)", M765&gt;22, "Adult (23+)", M765&gt;15, "Teen/Young Adult (16+)")</f>
        <v>Middle Age (30+)</v>
      </c>
      <c r="O765" s="3" t="s">
        <v>15</v>
      </c>
    </row>
    <row r="766" spans="1:15" x14ac:dyDescent="0.3">
      <c r="A766" s="4">
        <v>25908</v>
      </c>
      <c r="B766" s="3" t="s">
        <v>39</v>
      </c>
      <c r="C766" s="3" t="s">
        <v>41</v>
      </c>
      <c r="D766" s="11">
        <v>60000</v>
      </c>
      <c r="E766" s="9" t="str" cm="1">
        <f t="array" ref="E766">_xlfn.IFS(D766&gt;149000, "Very High", D766&gt;99000, "High", D766&gt;59999, "Average", D766&gt;19999, "Low", D766&gt;0, "Poverty")</f>
        <v>Average</v>
      </c>
      <c r="F766" s="3">
        <v>0</v>
      </c>
      <c r="G766" t="s">
        <v>19</v>
      </c>
      <c r="H766" t="s">
        <v>14</v>
      </c>
      <c r="I766" s="3" t="s">
        <v>18</v>
      </c>
      <c r="J766" s="3">
        <v>1</v>
      </c>
      <c r="K766" t="s">
        <v>26</v>
      </c>
      <c r="L766" t="s">
        <v>32</v>
      </c>
      <c r="M766" s="3">
        <v>27</v>
      </c>
      <c r="N766" s="3" t="str" cm="1">
        <f t="array" ref="N766">_xlfn.IFS(M766&gt;59, "Pension Age", M766&gt;44, "Elderly (45+)", M766&gt;29, "Middle Age (30+)", M766&gt;22, "Adult (23+)", M766&gt;15, "Teen/Young Adult (16+)")</f>
        <v>Adult (23+)</v>
      </c>
      <c r="O766" s="3" t="s">
        <v>18</v>
      </c>
    </row>
    <row r="767" spans="1:15" x14ac:dyDescent="0.3">
      <c r="A767" s="4">
        <v>16753</v>
      </c>
      <c r="B767" s="3" t="s">
        <v>40</v>
      </c>
      <c r="C767" s="3" t="s">
        <v>41</v>
      </c>
      <c r="D767" s="11">
        <v>70000</v>
      </c>
      <c r="E767" s="9" t="str" cm="1">
        <f t="array" ref="E767">_xlfn.IFS(D767&gt;149000, "Very High", D767&gt;99000, "High", D767&gt;59999, "Average", D767&gt;19999, "Low", D767&gt;0, "Poverty")</f>
        <v>Average</v>
      </c>
      <c r="F767" s="3">
        <v>0</v>
      </c>
      <c r="G767" t="s">
        <v>19</v>
      </c>
      <c r="H767" t="s">
        <v>14</v>
      </c>
      <c r="I767" s="3" t="s">
        <v>15</v>
      </c>
      <c r="J767" s="3">
        <v>2</v>
      </c>
      <c r="K767" t="s">
        <v>23</v>
      </c>
      <c r="L767" t="s">
        <v>32</v>
      </c>
      <c r="M767" s="3">
        <v>34</v>
      </c>
      <c r="N767" s="3" t="str" cm="1">
        <f t="array" ref="N767">_xlfn.IFS(M767&gt;59, "Pension Age", M767&gt;44, "Elderly (45+)", M767&gt;29, "Middle Age (30+)", M767&gt;22, "Adult (23+)", M767&gt;15, "Teen/Young Adult (16+)")</f>
        <v>Middle Age (30+)</v>
      </c>
      <c r="O767" s="3" t="s">
        <v>15</v>
      </c>
    </row>
    <row r="768" spans="1:15" x14ac:dyDescent="0.3">
      <c r="A768" s="4">
        <v>14608</v>
      </c>
      <c r="B768" s="3" t="s">
        <v>39</v>
      </c>
      <c r="C768" s="3" t="s">
        <v>42</v>
      </c>
      <c r="D768" s="11">
        <v>50000</v>
      </c>
      <c r="E768" s="9" t="str" cm="1">
        <f t="array" ref="E768">_xlfn.IFS(D768&gt;149000, "Very High", D768&gt;99000, "High", D768&gt;59999, "Average", D768&gt;19999, "Low", D768&gt;0, "Poverty")</f>
        <v>Low</v>
      </c>
      <c r="F768" s="3">
        <v>4</v>
      </c>
      <c r="G768" t="s">
        <v>13</v>
      </c>
      <c r="H768" t="s">
        <v>14</v>
      </c>
      <c r="I768" s="3" t="s">
        <v>15</v>
      </c>
      <c r="J768" s="3">
        <v>3</v>
      </c>
      <c r="K768" t="s">
        <v>30</v>
      </c>
      <c r="L768" t="s">
        <v>32</v>
      </c>
      <c r="M768" s="3">
        <v>42</v>
      </c>
      <c r="N768" s="3" t="str" cm="1">
        <f t="array" ref="N768">_xlfn.IFS(M768&gt;59, "Pension Age", M768&gt;44, "Elderly (45+)", M768&gt;29, "Middle Age (30+)", M768&gt;22, "Adult (23+)", M768&gt;15, "Teen/Young Adult (16+)")</f>
        <v>Middle Age (30+)</v>
      </c>
      <c r="O768" s="3" t="s">
        <v>18</v>
      </c>
    </row>
    <row r="769" spans="1:15" x14ac:dyDescent="0.3">
      <c r="A769" s="4">
        <v>24979</v>
      </c>
      <c r="B769" s="3" t="s">
        <v>39</v>
      </c>
      <c r="C769" s="3" t="s">
        <v>41</v>
      </c>
      <c r="D769" s="11">
        <v>60000</v>
      </c>
      <c r="E769" s="9" t="str" cm="1">
        <f t="array" ref="E769">_xlfn.IFS(D769&gt;149000, "Very High", D769&gt;99000, "High", D769&gt;59999, "Average", D769&gt;19999, "Low", D769&gt;0, "Poverty")</f>
        <v>Average</v>
      </c>
      <c r="F769" s="3">
        <v>2</v>
      </c>
      <c r="G769" t="s">
        <v>19</v>
      </c>
      <c r="H769" t="s">
        <v>21</v>
      </c>
      <c r="I769" s="3" t="s">
        <v>15</v>
      </c>
      <c r="J769" s="3">
        <v>2</v>
      </c>
      <c r="K769" t="s">
        <v>22</v>
      </c>
      <c r="L769" t="s">
        <v>32</v>
      </c>
      <c r="M769" s="3">
        <v>57</v>
      </c>
      <c r="N769" s="3" t="str" cm="1">
        <f t="array" ref="N769">_xlfn.IFS(M769&gt;59, "Pension Age", M769&gt;44, "Elderly (45+)", M769&gt;29, "Middle Age (30+)", M769&gt;22, "Adult (23+)", M769&gt;15, "Teen/Young Adult (16+)")</f>
        <v>Elderly (45+)</v>
      </c>
      <c r="O769" s="3" t="s">
        <v>15</v>
      </c>
    </row>
    <row r="770" spans="1:15" x14ac:dyDescent="0.3">
      <c r="A770" s="4">
        <v>13313</v>
      </c>
      <c r="B770" s="3" t="s">
        <v>39</v>
      </c>
      <c r="C770" s="3" t="s">
        <v>41</v>
      </c>
      <c r="D770" s="11">
        <v>120000</v>
      </c>
      <c r="E770" s="9" t="str" cm="1">
        <f t="array" ref="E770">_xlfn.IFS(D770&gt;149000, "Very High", D770&gt;99000, "High", D770&gt;59999, "Average", D770&gt;19999, "Low", D770&gt;0, "Poverty")</f>
        <v>High</v>
      </c>
      <c r="F770" s="3">
        <v>1</v>
      </c>
      <c r="G770" t="s">
        <v>27</v>
      </c>
      <c r="H770" t="s">
        <v>21</v>
      </c>
      <c r="I770" s="3" t="s">
        <v>18</v>
      </c>
      <c r="J770" s="3">
        <v>4</v>
      </c>
      <c r="K770" t="s">
        <v>22</v>
      </c>
      <c r="L770" t="s">
        <v>32</v>
      </c>
      <c r="M770" s="3">
        <v>45</v>
      </c>
      <c r="N770" s="3" t="str" cm="1">
        <f t="array" ref="N770">_xlfn.IFS(M770&gt;59, "Pension Age", M770&gt;44, "Elderly (45+)", M770&gt;29, "Middle Age (30+)", M770&gt;22, "Adult (23+)", M770&gt;15, "Teen/Young Adult (16+)")</f>
        <v>Elderly (45+)</v>
      </c>
      <c r="O770" s="3" t="s">
        <v>18</v>
      </c>
    </row>
    <row r="771" spans="1:15" x14ac:dyDescent="0.3">
      <c r="A771" s="4">
        <v>18952</v>
      </c>
      <c r="B771" s="3" t="s">
        <v>39</v>
      </c>
      <c r="C771" s="3" t="s">
        <v>41</v>
      </c>
      <c r="D771" s="11">
        <v>100000</v>
      </c>
      <c r="E771" s="9" t="str" cm="1">
        <f t="array" ref="E771">_xlfn.IFS(D771&gt;149000, "Very High", D771&gt;99000, "High", D771&gt;59999, "Average", D771&gt;19999, "Low", D771&gt;0, "Poverty")</f>
        <v>High</v>
      </c>
      <c r="F771" s="3">
        <v>4</v>
      </c>
      <c r="G771" t="s">
        <v>13</v>
      </c>
      <c r="H771" t="s">
        <v>28</v>
      </c>
      <c r="I771" s="3" t="s">
        <v>15</v>
      </c>
      <c r="J771" s="3">
        <v>4</v>
      </c>
      <c r="K771" t="s">
        <v>16</v>
      </c>
      <c r="L771" t="s">
        <v>32</v>
      </c>
      <c r="M771" s="3">
        <v>40</v>
      </c>
      <c r="N771" s="3" t="str" cm="1">
        <f t="array" ref="N771">_xlfn.IFS(M771&gt;59, "Pension Age", M771&gt;44, "Elderly (45+)", M771&gt;29, "Middle Age (30+)", M771&gt;22, "Adult (23+)", M771&gt;15, "Teen/Young Adult (16+)")</f>
        <v>Middle Age (30+)</v>
      </c>
      <c r="O771" s="3" t="s">
        <v>18</v>
      </c>
    </row>
    <row r="772" spans="1:15" x14ac:dyDescent="0.3">
      <c r="A772" s="4">
        <v>17699</v>
      </c>
      <c r="B772" s="3" t="s">
        <v>39</v>
      </c>
      <c r="C772" s="3" t="s">
        <v>42</v>
      </c>
      <c r="D772" s="11">
        <v>60000</v>
      </c>
      <c r="E772" s="9" t="str" cm="1">
        <f t="array" ref="E772">_xlfn.IFS(D772&gt;149000, "Very High", D772&gt;99000, "High", D772&gt;59999, "Average", D772&gt;19999, "Low", D772&gt;0, "Poverty")</f>
        <v>Average</v>
      </c>
      <c r="F772" s="3">
        <v>1</v>
      </c>
      <c r="G772" t="s">
        <v>31</v>
      </c>
      <c r="H772" t="s">
        <v>14</v>
      </c>
      <c r="I772" s="3" t="s">
        <v>18</v>
      </c>
      <c r="J772" s="3">
        <v>0</v>
      </c>
      <c r="K772" t="s">
        <v>16</v>
      </c>
      <c r="L772" t="s">
        <v>32</v>
      </c>
      <c r="M772" s="3">
        <v>55</v>
      </c>
      <c r="N772" s="3" t="str" cm="1">
        <f t="array" ref="N772">_xlfn.IFS(M772&gt;59, "Pension Age", M772&gt;44, "Elderly (45+)", M772&gt;29, "Middle Age (30+)", M772&gt;22, "Adult (23+)", M772&gt;15, "Teen/Young Adult (16+)")</f>
        <v>Elderly (45+)</v>
      </c>
      <c r="O772" s="3" t="s">
        <v>18</v>
      </c>
    </row>
    <row r="773" spans="1:15" x14ac:dyDescent="0.3">
      <c r="A773" s="4">
        <v>14657</v>
      </c>
      <c r="B773" s="3" t="s">
        <v>39</v>
      </c>
      <c r="C773" s="3" t="s">
        <v>42</v>
      </c>
      <c r="D773" s="11">
        <v>80000</v>
      </c>
      <c r="E773" s="9" t="str" cm="1">
        <f t="array" ref="E773">_xlfn.IFS(D773&gt;149000, "Very High", D773&gt;99000, "High", D773&gt;59999, "Average", D773&gt;19999, "Low", D773&gt;0, "Poverty")</f>
        <v>Average</v>
      </c>
      <c r="F773" s="3">
        <v>1</v>
      </c>
      <c r="G773" t="s">
        <v>19</v>
      </c>
      <c r="H773" t="s">
        <v>14</v>
      </c>
      <c r="I773" s="3" t="s">
        <v>18</v>
      </c>
      <c r="J773" s="3">
        <v>1</v>
      </c>
      <c r="K773" t="s">
        <v>16</v>
      </c>
      <c r="L773" t="s">
        <v>32</v>
      </c>
      <c r="M773" s="3">
        <v>47</v>
      </c>
      <c r="N773" s="3" t="str" cm="1">
        <f t="array" ref="N773">_xlfn.IFS(M773&gt;59, "Pension Age", M773&gt;44, "Elderly (45+)", M773&gt;29, "Middle Age (30+)", M773&gt;22, "Adult (23+)", M773&gt;15, "Teen/Young Adult (16+)")</f>
        <v>Elderly (45+)</v>
      </c>
      <c r="O773" s="3" t="s">
        <v>15</v>
      </c>
    </row>
    <row r="774" spans="1:15" x14ac:dyDescent="0.3">
      <c r="A774" s="4">
        <v>11540</v>
      </c>
      <c r="B774" s="3" t="s">
        <v>40</v>
      </c>
      <c r="C774" s="3" t="s">
        <v>42</v>
      </c>
      <c r="D774" s="11">
        <v>60000</v>
      </c>
      <c r="E774" s="9" t="str" cm="1">
        <f t="array" ref="E774">_xlfn.IFS(D774&gt;149000, "Very High", D774&gt;99000, "High", D774&gt;59999, "Average", D774&gt;19999, "Low", D774&gt;0, "Poverty")</f>
        <v>Average</v>
      </c>
      <c r="F774" s="3">
        <v>4</v>
      </c>
      <c r="G774" t="s">
        <v>31</v>
      </c>
      <c r="H774" t="s">
        <v>14</v>
      </c>
      <c r="I774" s="3" t="s">
        <v>15</v>
      </c>
      <c r="J774" s="3">
        <v>0</v>
      </c>
      <c r="K774" t="s">
        <v>26</v>
      </c>
      <c r="L774" t="s">
        <v>32</v>
      </c>
      <c r="M774" s="3">
        <v>47</v>
      </c>
      <c r="N774" s="3" t="str" cm="1">
        <f t="array" ref="N774">_xlfn.IFS(M774&gt;59, "Pension Age", M774&gt;44, "Elderly (45+)", M774&gt;29, "Middle Age (30+)", M774&gt;22, "Adult (23+)", M774&gt;15, "Teen/Young Adult (16+)")</f>
        <v>Elderly (45+)</v>
      </c>
      <c r="O774" s="3" t="s">
        <v>15</v>
      </c>
    </row>
    <row r="775" spans="1:15" x14ac:dyDescent="0.3">
      <c r="A775" s="4">
        <v>11783</v>
      </c>
      <c r="B775" s="3" t="s">
        <v>39</v>
      </c>
      <c r="C775" s="3" t="s">
        <v>41</v>
      </c>
      <c r="D775" s="11">
        <v>60000</v>
      </c>
      <c r="E775" s="9" t="str" cm="1">
        <f t="array" ref="E775">_xlfn.IFS(D775&gt;149000, "Very High", D775&gt;99000, "High", D775&gt;59999, "Average", D775&gt;19999, "Low", D775&gt;0, "Poverty")</f>
        <v>Average</v>
      </c>
      <c r="F775" s="3">
        <v>1</v>
      </c>
      <c r="G775" t="s">
        <v>31</v>
      </c>
      <c r="H775" t="s">
        <v>14</v>
      </c>
      <c r="I775" s="3" t="s">
        <v>15</v>
      </c>
      <c r="J775" s="3">
        <v>0</v>
      </c>
      <c r="K775" t="s">
        <v>16</v>
      </c>
      <c r="L775" t="s">
        <v>32</v>
      </c>
      <c r="M775" s="3">
        <v>34</v>
      </c>
      <c r="N775" s="3" t="str" cm="1">
        <f t="array" ref="N775">_xlfn.IFS(M775&gt;59, "Pension Age", M775&gt;44, "Elderly (45+)", M775&gt;29, "Middle Age (30+)", M775&gt;22, "Adult (23+)", M775&gt;15, "Teen/Young Adult (16+)")</f>
        <v>Middle Age (30+)</v>
      </c>
      <c r="O775" s="3" t="s">
        <v>18</v>
      </c>
    </row>
    <row r="776" spans="1:15" x14ac:dyDescent="0.3">
      <c r="A776" s="4">
        <v>14602</v>
      </c>
      <c r="B776" s="3" t="s">
        <v>39</v>
      </c>
      <c r="C776" s="3" t="s">
        <v>41</v>
      </c>
      <c r="D776" s="11">
        <v>80000</v>
      </c>
      <c r="E776" s="9" t="str" cm="1">
        <f t="array" ref="E776">_xlfn.IFS(D776&gt;149000, "Very High", D776&gt;99000, "High", D776&gt;59999, "Average", D776&gt;19999, "Low", D776&gt;0, "Poverty")</f>
        <v>Average</v>
      </c>
      <c r="F776" s="3">
        <v>3</v>
      </c>
      <c r="G776" t="s">
        <v>31</v>
      </c>
      <c r="H776" t="s">
        <v>21</v>
      </c>
      <c r="I776" s="3" t="s">
        <v>15</v>
      </c>
      <c r="J776" s="3">
        <v>0</v>
      </c>
      <c r="K776" t="s">
        <v>16</v>
      </c>
      <c r="L776" t="s">
        <v>32</v>
      </c>
      <c r="M776" s="3">
        <v>36</v>
      </c>
      <c r="N776" s="3" t="str" cm="1">
        <f t="array" ref="N776">_xlfn.IFS(M776&gt;59, "Pension Age", M776&gt;44, "Elderly (45+)", M776&gt;29, "Middle Age (30+)", M776&gt;22, "Adult (23+)", M776&gt;15, "Teen/Young Adult (16+)")</f>
        <v>Middle Age (30+)</v>
      </c>
      <c r="O776" s="3" t="s">
        <v>15</v>
      </c>
    </row>
    <row r="777" spans="1:15" x14ac:dyDescent="0.3">
      <c r="A777" s="4">
        <v>29030</v>
      </c>
      <c r="B777" s="3" t="s">
        <v>39</v>
      </c>
      <c r="C777" s="3" t="s">
        <v>42</v>
      </c>
      <c r="D777" s="11">
        <v>70000</v>
      </c>
      <c r="E777" s="9" t="str" cm="1">
        <f t="array" ref="E777">_xlfn.IFS(D777&gt;149000, "Very High", D777&gt;99000, "High", D777&gt;59999, "Average", D777&gt;19999, "Low", D777&gt;0, "Poverty")</f>
        <v>Average</v>
      </c>
      <c r="F777" s="3">
        <v>2</v>
      </c>
      <c r="G777" t="s">
        <v>29</v>
      </c>
      <c r="H777" t="s">
        <v>14</v>
      </c>
      <c r="I777" s="3" t="s">
        <v>15</v>
      </c>
      <c r="J777" s="3">
        <v>2</v>
      </c>
      <c r="K777" t="s">
        <v>30</v>
      </c>
      <c r="L777" t="s">
        <v>32</v>
      </c>
      <c r="M777" s="3">
        <v>54</v>
      </c>
      <c r="N777" s="3" t="str" cm="1">
        <f t="array" ref="N777">_xlfn.IFS(M777&gt;59, "Pension Age", M777&gt;44, "Elderly (45+)", M777&gt;29, "Middle Age (30+)", M777&gt;22, "Adult (23+)", M777&gt;15, "Teen/Young Adult (16+)")</f>
        <v>Elderly (45+)</v>
      </c>
      <c r="O777" s="3" t="s">
        <v>18</v>
      </c>
    </row>
    <row r="778" spans="1:15" x14ac:dyDescent="0.3">
      <c r="A778" s="4">
        <v>26490</v>
      </c>
      <c r="B778" s="3" t="s">
        <v>40</v>
      </c>
      <c r="C778" s="3" t="s">
        <v>42</v>
      </c>
      <c r="D778" s="11">
        <v>70000</v>
      </c>
      <c r="E778" s="9" t="str" cm="1">
        <f t="array" ref="E778">_xlfn.IFS(D778&gt;149000, "Very High", D778&gt;99000, "High", D778&gt;59999, "Average", D778&gt;19999, "Low", D778&gt;0, "Poverty")</f>
        <v>Average</v>
      </c>
      <c r="F778" s="3">
        <v>2</v>
      </c>
      <c r="G778" t="s">
        <v>13</v>
      </c>
      <c r="H778" t="s">
        <v>28</v>
      </c>
      <c r="I778" s="3" t="s">
        <v>18</v>
      </c>
      <c r="J778" s="3">
        <v>1</v>
      </c>
      <c r="K778" t="s">
        <v>22</v>
      </c>
      <c r="L778" t="s">
        <v>32</v>
      </c>
      <c r="M778" s="3">
        <v>59</v>
      </c>
      <c r="N778" s="3" t="str" cm="1">
        <f t="array" ref="N778">_xlfn.IFS(M778&gt;59, "Pension Age", M778&gt;44, "Elderly (45+)", M778&gt;29, "Middle Age (30+)", M778&gt;22, "Adult (23+)", M778&gt;15, "Teen/Young Adult (16+)")</f>
        <v>Elderly (45+)</v>
      </c>
      <c r="O778" s="3" t="s">
        <v>15</v>
      </c>
    </row>
    <row r="779" spans="1:15" x14ac:dyDescent="0.3">
      <c r="A779" s="4">
        <v>13151</v>
      </c>
      <c r="B779" s="3" t="s">
        <v>40</v>
      </c>
      <c r="C779" s="3" t="s">
        <v>42</v>
      </c>
      <c r="D779" s="11">
        <v>40000</v>
      </c>
      <c r="E779" s="9" t="str" cm="1">
        <f t="array" ref="E779">_xlfn.IFS(D779&gt;149000, "Very High", D779&gt;99000, "High", D779&gt;59999, "Average", D779&gt;19999, "Low", D779&gt;0, "Poverty")</f>
        <v>Low</v>
      </c>
      <c r="F779" s="3">
        <v>0</v>
      </c>
      <c r="G779" t="s">
        <v>27</v>
      </c>
      <c r="H779" t="s">
        <v>14</v>
      </c>
      <c r="I779" s="3" t="s">
        <v>15</v>
      </c>
      <c r="J779" s="3">
        <v>2</v>
      </c>
      <c r="K779" t="s">
        <v>23</v>
      </c>
      <c r="L779" t="s">
        <v>32</v>
      </c>
      <c r="M779" s="3">
        <v>27</v>
      </c>
      <c r="N779" s="3" t="str" cm="1">
        <f t="array" ref="N779">_xlfn.IFS(M779&gt;59, "Pension Age", M779&gt;44, "Elderly (45+)", M779&gt;29, "Middle Age (30+)", M779&gt;22, "Adult (23+)", M779&gt;15, "Teen/Young Adult (16+)")</f>
        <v>Adult (23+)</v>
      </c>
      <c r="O779" s="3" t="s">
        <v>18</v>
      </c>
    </row>
    <row r="780" spans="1:15" x14ac:dyDescent="0.3">
      <c r="A780" s="4">
        <v>17260</v>
      </c>
      <c r="B780" s="3" t="s">
        <v>39</v>
      </c>
      <c r="C780" s="3" t="s">
        <v>42</v>
      </c>
      <c r="D780" s="11">
        <v>90000</v>
      </c>
      <c r="E780" s="9" t="str" cm="1">
        <f t="array" ref="E780">_xlfn.IFS(D780&gt;149000, "Very High", D780&gt;99000, "High", D780&gt;59999, "Average", D780&gt;19999, "Low", D780&gt;0, "Poverty")</f>
        <v>Average</v>
      </c>
      <c r="F780" s="3">
        <v>5</v>
      </c>
      <c r="G780" t="s">
        <v>19</v>
      </c>
      <c r="H780" t="s">
        <v>21</v>
      </c>
      <c r="I780" s="3" t="s">
        <v>15</v>
      </c>
      <c r="J780" s="3">
        <v>3</v>
      </c>
      <c r="K780" t="s">
        <v>16</v>
      </c>
      <c r="L780" t="s">
        <v>32</v>
      </c>
      <c r="M780" s="3">
        <v>41</v>
      </c>
      <c r="N780" s="3" t="str" cm="1">
        <f t="array" ref="N780">_xlfn.IFS(M780&gt;59, "Pension Age", M780&gt;44, "Elderly (45+)", M780&gt;29, "Middle Age (30+)", M780&gt;22, "Adult (23+)", M780&gt;15, "Teen/Young Adult (16+)")</f>
        <v>Middle Age (30+)</v>
      </c>
      <c r="O780" s="3" t="s">
        <v>18</v>
      </c>
    </row>
    <row r="781" spans="1:15" x14ac:dyDescent="0.3">
      <c r="A781" s="4">
        <v>15372</v>
      </c>
      <c r="B781" s="3" t="s">
        <v>39</v>
      </c>
      <c r="C781" s="3" t="s">
        <v>42</v>
      </c>
      <c r="D781" s="11">
        <v>80000</v>
      </c>
      <c r="E781" s="9" t="str" cm="1">
        <f t="array" ref="E781">_xlfn.IFS(D781&gt;149000, "Very High", D781&gt;99000, "High", D781&gt;59999, "Average", D781&gt;19999, "Low", D781&gt;0, "Poverty")</f>
        <v>Average</v>
      </c>
      <c r="F781" s="3">
        <v>3</v>
      </c>
      <c r="G781" t="s">
        <v>19</v>
      </c>
      <c r="H781" t="s">
        <v>21</v>
      </c>
      <c r="I781" s="3" t="s">
        <v>18</v>
      </c>
      <c r="J781" s="3">
        <v>2</v>
      </c>
      <c r="K781" t="s">
        <v>22</v>
      </c>
      <c r="L781" t="s">
        <v>32</v>
      </c>
      <c r="M781" s="3">
        <v>50</v>
      </c>
      <c r="N781" s="3" t="str" cm="1">
        <f t="array" ref="N781">_xlfn.IFS(M781&gt;59, "Pension Age", M781&gt;44, "Elderly (45+)", M781&gt;29, "Middle Age (30+)", M781&gt;22, "Adult (23+)", M781&gt;15, "Teen/Young Adult (16+)")</f>
        <v>Elderly (45+)</v>
      </c>
      <c r="O781" s="3" t="s">
        <v>15</v>
      </c>
    </row>
    <row r="782" spans="1:15" x14ac:dyDescent="0.3">
      <c r="A782" s="4">
        <v>18105</v>
      </c>
      <c r="B782" s="3" t="s">
        <v>39</v>
      </c>
      <c r="C782" s="3" t="s">
        <v>41</v>
      </c>
      <c r="D782" s="11">
        <v>60000</v>
      </c>
      <c r="E782" s="9" t="str" cm="1">
        <f t="array" ref="E782">_xlfn.IFS(D782&gt;149000, "Very High", D782&gt;99000, "High", D782&gt;59999, "Average", D782&gt;19999, "Low", D782&gt;0, "Poverty")</f>
        <v>Average</v>
      </c>
      <c r="F782" s="3">
        <v>2</v>
      </c>
      <c r="G782" t="s">
        <v>19</v>
      </c>
      <c r="H782" t="s">
        <v>21</v>
      </c>
      <c r="I782" s="3" t="s">
        <v>15</v>
      </c>
      <c r="J782" s="3">
        <v>1</v>
      </c>
      <c r="K782" t="s">
        <v>30</v>
      </c>
      <c r="L782" t="s">
        <v>32</v>
      </c>
      <c r="M782" s="3">
        <v>55</v>
      </c>
      <c r="N782" s="3" t="str" cm="1">
        <f t="array" ref="N782">_xlfn.IFS(M782&gt;59, "Pension Age", M782&gt;44, "Elderly (45+)", M782&gt;29, "Middle Age (30+)", M782&gt;22, "Adult (23+)", M782&gt;15, "Teen/Young Adult (16+)")</f>
        <v>Elderly (45+)</v>
      </c>
      <c r="O782" s="3" t="s">
        <v>18</v>
      </c>
    </row>
    <row r="783" spans="1:15" x14ac:dyDescent="0.3">
      <c r="A783" s="4">
        <v>19660</v>
      </c>
      <c r="B783" s="3" t="s">
        <v>39</v>
      </c>
      <c r="C783" s="3" t="s">
        <v>42</v>
      </c>
      <c r="D783" s="11">
        <v>80000</v>
      </c>
      <c r="E783" s="9" t="str" cm="1">
        <f t="array" ref="E783">_xlfn.IFS(D783&gt;149000, "Very High", D783&gt;99000, "High", D783&gt;59999, "Average", D783&gt;19999, "Low", D783&gt;0, "Poverty")</f>
        <v>Average</v>
      </c>
      <c r="F783" s="3">
        <v>4</v>
      </c>
      <c r="G783" t="s">
        <v>13</v>
      </c>
      <c r="H783" t="s">
        <v>28</v>
      </c>
      <c r="I783" s="3" t="s">
        <v>15</v>
      </c>
      <c r="J783" s="3">
        <v>0</v>
      </c>
      <c r="K783" t="s">
        <v>16</v>
      </c>
      <c r="L783" t="s">
        <v>32</v>
      </c>
      <c r="M783" s="3">
        <v>43</v>
      </c>
      <c r="N783" s="3" t="str" cm="1">
        <f t="array" ref="N783">_xlfn.IFS(M783&gt;59, "Pension Age", M783&gt;44, "Elderly (45+)", M783&gt;29, "Middle Age (30+)", M783&gt;22, "Adult (23+)", M783&gt;15, "Teen/Young Adult (16+)")</f>
        <v>Middle Age (30+)</v>
      </c>
      <c r="O783" s="3" t="s">
        <v>18</v>
      </c>
    </row>
    <row r="784" spans="1:15" x14ac:dyDescent="0.3">
      <c r="A784" s="4">
        <v>16112</v>
      </c>
      <c r="B784" s="3" t="s">
        <v>40</v>
      </c>
      <c r="C784" s="3" t="s">
        <v>42</v>
      </c>
      <c r="D784" s="11">
        <v>70000</v>
      </c>
      <c r="E784" s="9" t="str" cm="1">
        <f t="array" ref="E784">_xlfn.IFS(D784&gt;149000, "Very High", D784&gt;99000, "High", D784&gt;59999, "Average", D784&gt;19999, "Low", D784&gt;0, "Poverty")</f>
        <v>Average</v>
      </c>
      <c r="F784" s="3">
        <v>4</v>
      </c>
      <c r="G784" t="s">
        <v>13</v>
      </c>
      <c r="H784" t="s">
        <v>21</v>
      </c>
      <c r="I784" s="3" t="s">
        <v>15</v>
      </c>
      <c r="J784" s="3">
        <v>2</v>
      </c>
      <c r="K784" t="s">
        <v>22</v>
      </c>
      <c r="L784" t="s">
        <v>32</v>
      </c>
      <c r="M784" s="3">
        <v>43</v>
      </c>
      <c r="N784" s="3" t="str" cm="1">
        <f t="array" ref="N784">_xlfn.IFS(M784&gt;59, "Pension Age", M784&gt;44, "Elderly (45+)", M784&gt;29, "Middle Age (30+)", M784&gt;22, "Adult (23+)", M784&gt;15, "Teen/Young Adult (16+)")</f>
        <v>Middle Age (30+)</v>
      </c>
      <c r="O784" s="3" t="s">
        <v>15</v>
      </c>
    </row>
    <row r="785" spans="1:15" x14ac:dyDescent="0.3">
      <c r="A785" s="4">
        <v>20698</v>
      </c>
      <c r="B785" s="3" t="s">
        <v>39</v>
      </c>
      <c r="C785" s="3" t="s">
        <v>42</v>
      </c>
      <c r="D785" s="11">
        <v>60000</v>
      </c>
      <c r="E785" s="9" t="str" cm="1">
        <f t="array" ref="E785">_xlfn.IFS(D785&gt;149000, "Very High", D785&gt;99000, "High", D785&gt;59999, "Average", D785&gt;19999, "Low", D785&gt;0, "Poverty")</f>
        <v>Average</v>
      </c>
      <c r="F785" s="3">
        <v>4</v>
      </c>
      <c r="G785" t="s">
        <v>13</v>
      </c>
      <c r="H785" t="s">
        <v>14</v>
      </c>
      <c r="I785" s="3" t="s">
        <v>15</v>
      </c>
      <c r="J785" s="3">
        <v>3</v>
      </c>
      <c r="K785" t="s">
        <v>23</v>
      </c>
      <c r="L785" t="s">
        <v>32</v>
      </c>
      <c r="M785" s="3">
        <v>42</v>
      </c>
      <c r="N785" s="3" t="str" cm="1">
        <f t="array" ref="N785">_xlfn.IFS(M785&gt;59, "Pension Age", M785&gt;44, "Elderly (45+)", M785&gt;29, "Middle Age (30+)", M785&gt;22, "Adult (23+)", M785&gt;15, "Teen/Young Adult (16+)")</f>
        <v>Middle Age (30+)</v>
      </c>
      <c r="O785" s="3" t="s">
        <v>18</v>
      </c>
    </row>
    <row r="786" spans="1:15" x14ac:dyDescent="0.3">
      <c r="A786" s="4">
        <v>20076</v>
      </c>
      <c r="B786" s="3" t="s">
        <v>40</v>
      </c>
      <c r="C786" s="3" t="s">
        <v>41</v>
      </c>
      <c r="D786" s="11">
        <v>10000</v>
      </c>
      <c r="E786" s="9" t="str" cm="1">
        <f t="array" ref="E786">_xlfn.IFS(D786&gt;149000, "Very High", D786&gt;99000, "High", D786&gt;59999, "Average", D786&gt;19999, "Low", D786&gt;0, "Poverty")</f>
        <v>Poverty</v>
      </c>
      <c r="F786" s="3">
        <v>2</v>
      </c>
      <c r="G786" t="s">
        <v>27</v>
      </c>
      <c r="H786" t="s">
        <v>25</v>
      </c>
      <c r="I786" s="3" t="s">
        <v>15</v>
      </c>
      <c r="J786" s="3">
        <v>2</v>
      </c>
      <c r="K786" t="s">
        <v>26</v>
      </c>
      <c r="L786" t="s">
        <v>32</v>
      </c>
      <c r="M786" s="3">
        <v>53</v>
      </c>
      <c r="N786" s="3" t="str" cm="1">
        <f t="array" ref="N786">_xlfn.IFS(M786&gt;59, "Pension Age", M786&gt;44, "Elderly (45+)", M786&gt;29, "Middle Age (30+)", M786&gt;22, "Adult (23+)", M786&gt;15, "Teen/Young Adult (16+)")</f>
        <v>Elderly (45+)</v>
      </c>
      <c r="O786" s="3" t="s">
        <v>15</v>
      </c>
    </row>
    <row r="787" spans="1:15" x14ac:dyDescent="0.3">
      <c r="A787" s="4">
        <v>24496</v>
      </c>
      <c r="B787" s="3" t="s">
        <v>40</v>
      </c>
      <c r="C787" s="3" t="s">
        <v>41</v>
      </c>
      <c r="D787" s="11">
        <v>40000</v>
      </c>
      <c r="E787" s="9" t="str" cm="1">
        <f t="array" ref="E787">_xlfn.IFS(D787&gt;149000, "Very High", D787&gt;99000, "High", D787&gt;59999, "Average", D787&gt;19999, "Low", D787&gt;0, "Poverty")</f>
        <v>Low</v>
      </c>
      <c r="F787" s="3">
        <v>0</v>
      </c>
      <c r="G787" t="s">
        <v>27</v>
      </c>
      <c r="H787" t="s">
        <v>14</v>
      </c>
      <c r="I787" s="3" t="s">
        <v>18</v>
      </c>
      <c r="J787" s="3">
        <v>2</v>
      </c>
      <c r="K787" t="s">
        <v>16</v>
      </c>
      <c r="L787" t="s">
        <v>32</v>
      </c>
      <c r="M787" s="3">
        <v>28</v>
      </c>
      <c r="N787" s="3" t="str" cm="1">
        <f t="array" ref="N787">_xlfn.IFS(M787&gt;59, "Pension Age", M787&gt;44, "Elderly (45+)", M787&gt;29, "Middle Age (30+)", M787&gt;22, "Adult (23+)", M787&gt;15, "Teen/Young Adult (16+)")</f>
        <v>Adult (23+)</v>
      </c>
      <c r="O787" s="3" t="s">
        <v>15</v>
      </c>
    </row>
    <row r="788" spans="1:15" x14ac:dyDescent="0.3">
      <c r="A788" s="4">
        <v>15468</v>
      </c>
      <c r="B788" s="3" t="s">
        <v>39</v>
      </c>
      <c r="C788" s="3" t="s">
        <v>41</v>
      </c>
      <c r="D788" s="11">
        <v>50000</v>
      </c>
      <c r="E788" s="9" t="str" cm="1">
        <f t="array" ref="E788">_xlfn.IFS(D788&gt;149000, "Very High", D788&gt;99000, "High", D788&gt;59999, "Average", D788&gt;19999, "Low", D788&gt;0, "Poverty")</f>
        <v>Low</v>
      </c>
      <c r="F788" s="3">
        <v>1</v>
      </c>
      <c r="G788" t="s">
        <v>13</v>
      </c>
      <c r="H788" t="s">
        <v>14</v>
      </c>
      <c r="I788" s="3" t="s">
        <v>15</v>
      </c>
      <c r="J788" s="3">
        <v>1</v>
      </c>
      <c r="K788" t="s">
        <v>16</v>
      </c>
      <c r="L788" t="s">
        <v>32</v>
      </c>
      <c r="M788" s="3">
        <v>35</v>
      </c>
      <c r="N788" s="3" t="str" cm="1">
        <f t="array" ref="N788">_xlfn.IFS(M788&gt;59, "Pension Age", M788&gt;44, "Elderly (45+)", M788&gt;29, "Middle Age (30+)", M788&gt;22, "Adult (23+)", M788&gt;15, "Teen/Young Adult (16+)")</f>
        <v>Middle Age (30+)</v>
      </c>
      <c r="O788" s="3" t="s">
        <v>18</v>
      </c>
    </row>
    <row r="789" spans="1:15" x14ac:dyDescent="0.3">
      <c r="A789" s="4">
        <v>28031</v>
      </c>
      <c r="B789" s="3" t="s">
        <v>40</v>
      </c>
      <c r="C789" s="3" t="s">
        <v>41</v>
      </c>
      <c r="D789" s="11">
        <v>70000</v>
      </c>
      <c r="E789" s="9" t="str" cm="1">
        <f t="array" ref="E789">_xlfn.IFS(D789&gt;149000, "Very High", D789&gt;99000, "High", D789&gt;59999, "Average", D789&gt;19999, "Low", D789&gt;0, "Poverty")</f>
        <v>Average</v>
      </c>
      <c r="F789" s="3">
        <v>2</v>
      </c>
      <c r="G789" t="s">
        <v>13</v>
      </c>
      <c r="H789" t="s">
        <v>28</v>
      </c>
      <c r="I789" s="3" t="s">
        <v>18</v>
      </c>
      <c r="J789" s="3">
        <v>1</v>
      </c>
      <c r="K789" t="s">
        <v>22</v>
      </c>
      <c r="L789" t="s">
        <v>32</v>
      </c>
      <c r="M789" s="3">
        <v>59</v>
      </c>
      <c r="N789" s="3" t="str" cm="1">
        <f t="array" ref="N789">_xlfn.IFS(M789&gt;59, "Pension Age", M789&gt;44, "Elderly (45+)", M789&gt;29, "Middle Age (30+)", M789&gt;22, "Adult (23+)", M789&gt;15, "Teen/Young Adult (16+)")</f>
        <v>Elderly (45+)</v>
      </c>
      <c r="O789" s="3" t="s">
        <v>15</v>
      </c>
    </row>
    <row r="790" spans="1:15" x14ac:dyDescent="0.3">
      <c r="A790" s="4">
        <v>26270</v>
      </c>
      <c r="B790" s="3" t="s">
        <v>40</v>
      </c>
      <c r="C790" s="3" t="s">
        <v>41</v>
      </c>
      <c r="D790" s="11">
        <v>20000</v>
      </c>
      <c r="E790" s="9" t="str" cm="1">
        <f t="array" ref="E790">_xlfn.IFS(D790&gt;149000, "Very High", D790&gt;99000, "High", D790&gt;59999, "Average", D790&gt;19999, "Low", D790&gt;0, "Poverty")</f>
        <v>Low</v>
      </c>
      <c r="F790" s="3">
        <v>2</v>
      </c>
      <c r="G790" t="s">
        <v>29</v>
      </c>
      <c r="H790" t="s">
        <v>20</v>
      </c>
      <c r="I790" s="3" t="s">
        <v>15</v>
      </c>
      <c r="J790" s="3">
        <v>2</v>
      </c>
      <c r="K790" t="s">
        <v>26</v>
      </c>
      <c r="L790" t="s">
        <v>32</v>
      </c>
      <c r="M790" s="3">
        <v>49</v>
      </c>
      <c r="N790" s="3" t="str" cm="1">
        <f t="array" ref="N790">_xlfn.IFS(M790&gt;59, "Pension Age", M790&gt;44, "Elderly (45+)", M790&gt;29, "Middle Age (30+)", M790&gt;22, "Adult (23+)", M790&gt;15, "Teen/Young Adult (16+)")</f>
        <v>Elderly (45+)</v>
      </c>
      <c r="O790" s="3" t="s">
        <v>18</v>
      </c>
    </row>
    <row r="791" spans="1:15" x14ac:dyDescent="0.3">
      <c r="A791" s="4">
        <v>22221</v>
      </c>
      <c r="B791" s="3" t="s">
        <v>39</v>
      </c>
      <c r="C791" s="3" t="s">
        <v>42</v>
      </c>
      <c r="D791" s="11">
        <v>60000</v>
      </c>
      <c r="E791" s="9" t="str" cm="1">
        <f t="array" ref="E791">_xlfn.IFS(D791&gt;149000, "Very High", D791&gt;99000, "High", D791&gt;59999, "Average", D791&gt;19999, "Low", D791&gt;0, "Poverty")</f>
        <v>Average</v>
      </c>
      <c r="F791" s="3">
        <v>2</v>
      </c>
      <c r="G791" t="s">
        <v>27</v>
      </c>
      <c r="H791" t="s">
        <v>21</v>
      </c>
      <c r="I791" s="3" t="s">
        <v>18</v>
      </c>
      <c r="J791" s="3">
        <v>2</v>
      </c>
      <c r="K791" t="s">
        <v>26</v>
      </c>
      <c r="L791" t="s">
        <v>32</v>
      </c>
      <c r="M791" s="3">
        <v>48</v>
      </c>
      <c r="N791" s="3" t="str" cm="1">
        <f t="array" ref="N791">_xlfn.IFS(M791&gt;59, "Pension Age", M791&gt;44, "Elderly (45+)", M791&gt;29, "Middle Age (30+)", M791&gt;22, "Adult (23+)", M791&gt;15, "Teen/Young Adult (16+)")</f>
        <v>Elderly (45+)</v>
      </c>
      <c r="O791" s="3" t="s">
        <v>15</v>
      </c>
    </row>
    <row r="792" spans="1:15" x14ac:dyDescent="0.3">
      <c r="A792" s="4">
        <v>28228</v>
      </c>
      <c r="B792" s="3" t="s">
        <v>40</v>
      </c>
      <c r="C792" s="3" t="s">
        <v>41</v>
      </c>
      <c r="D792" s="11">
        <v>80000</v>
      </c>
      <c r="E792" s="9" t="str" cm="1">
        <f t="array" ref="E792">_xlfn.IFS(D792&gt;149000, "Very High", D792&gt;99000, "High", D792&gt;59999, "Average", D792&gt;19999, "Low", D792&gt;0, "Poverty")</f>
        <v>Average</v>
      </c>
      <c r="F792" s="3">
        <v>2</v>
      </c>
      <c r="G792" t="s">
        <v>29</v>
      </c>
      <c r="H792" t="s">
        <v>14</v>
      </c>
      <c r="I792" s="3" t="s">
        <v>18</v>
      </c>
      <c r="J792" s="3">
        <v>2</v>
      </c>
      <c r="K792" t="s">
        <v>26</v>
      </c>
      <c r="L792" t="s">
        <v>32</v>
      </c>
      <c r="M792" s="3">
        <v>50</v>
      </c>
      <c r="N792" s="3" t="str" cm="1">
        <f t="array" ref="N792">_xlfn.IFS(M792&gt;59, "Pension Age", M792&gt;44, "Elderly (45+)", M792&gt;29, "Middle Age (30+)", M792&gt;22, "Adult (23+)", M792&gt;15, "Teen/Young Adult (16+)")</f>
        <v>Elderly (45+)</v>
      </c>
      <c r="O792" s="3" t="s">
        <v>18</v>
      </c>
    </row>
    <row r="793" spans="1:15" x14ac:dyDescent="0.3">
      <c r="A793" s="4">
        <v>18363</v>
      </c>
      <c r="B793" s="3" t="s">
        <v>39</v>
      </c>
      <c r="C793" s="3" t="s">
        <v>42</v>
      </c>
      <c r="D793" s="11">
        <v>40000</v>
      </c>
      <c r="E793" s="9" t="str" cm="1">
        <f t="array" ref="E793">_xlfn.IFS(D793&gt;149000, "Very High", D793&gt;99000, "High", D793&gt;59999, "Average", D793&gt;19999, "Low", D793&gt;0, "Poverty")</f>
        <v>Low</v>
      </c>
      <c r="F793" s="3">
        <v>0</v>
      </c>
      <c r="G793" t="s">
        <v>27</v>
      </c>
      <c r="H793" t="s">
        <v>14</v>
      </c>
      <c r="I793" s="3" t="s">
        <v>15</v>
      </c>
      <c r="J793" s="3">
        <v>2</v>
      </c>
      <c r="K793" t="s">
        <v>23</v>
      </c>
      <c r="L793" t="s">
        <v>32</v>
      </c>
      <c r="M793" s="3">
        <v>28</v>
      </c>
      <c r="N793" s="3" t="str" cm="1">
        <f t="array" ref="N793">_xlfn.IFS(M793&gt;59, "Pension Age", M793&gt;44, "Elderly (45+)", M793&gt;29, "Middle Age (30+)", M793&gt;22, "Adult (23+)", M793&gt;15, "Teen/Young Adult (16+)")</f>
        <v>Adult (23+)</v>
      </c>
      <c r="O793" s="3" t="s">
        <v>15</v>
      </c>
    </row>
    <row r="794" spans="1:15" x14ac:dyDescent="0.3">
      <c r="A794" s="4">
        <v>23256</v>
      </c>
      <c r="B794" s="3" t="s">
        <v>40</v>
      </c>
      <c r="C794" s="3" t="s">
        <v>42</v>
      </c>
      <c r="D794" s="11">
        <v>30000</v>
      </c>
      <c r="E794" s="9" t="str" cm="1">
        <f t="array" ref="E794">_xlfn.IFS(D794&gt;149000, "Very High", D794&gt;99000, "High", D794&gt;59999, "Average", D794&gt;19999, "Low", D794&gt;0, "Poverty")</f>
        <v>Low</v>
      </c>
      <c r="F794" s="3">
        <v>1</v>
      </c>
      <c r="G794" t="s">
        <v>27</v>
      </c>
      <c r="H794" t="s">
        <v>20</v>
      </c>
      <c r="I794" s="3" t="s">
        <v>18</v>
      </c>
      <c r="J794" s="3">
        <v>1</v>
      </c>
      <c r="K794" t="s">
        <v>23</v>
      </c>
      <c r="L794" t="s">
        <v>32</v>
      </c>
      <c r="M794" s="3">
        <v>52</v>
      </c>
      <c r="N794" s="3" t="str" cm="1">
        <f t="array" ref="N794">_xlfn.IFS(M794&gt;59, "Pension Age", M794&gt;44, "Elderly (45+)", M794&gt;29, "Middle Age (30+)", M794&gt;22, "Adult (23+)", M794&gt;15, "Teen/Young Adult (16+)")</f>
        <v>Elderly (45+)</v>
      </c>
      <c r="O794" s="3" t="s">
        <v>18</v>
      </c>
    </row>
    <row r="795" spans="1:15" x14ac:dyDescent="0.3">
      <c r="A795" s="4">
        <v>12768</v>
      </c>
      <c r="B795" s="3" t="s">
        <v>39</v>
      </c>
      <c r="C795" s="3" t="s">
        <v>42</v>
      </c>
      <c r="D795" s="11">
        <v>30000</v>
      </c>
      <c r="E795" s="9" t="str" cm="1">
        <f t="array" ref="E795">_xlfn.IFS(D795&gt;149000, "Very High", D795&gt;99000, "High", D795&gt;59999, "Average", D795&gt;19999, "Low", D795&gt;0, "Poverty")</f>
        <v>Low</v>
      </c>
      <c r="F795" s="3">
        <v>1</v>
      </c>
      <c r="G795" t="s">
        <v>27</v>
      </c>
      <c r="H795" t="s">
        <v>20</v>
      </c>
      <c r="I795" s="3" t="s">
        <v>15</v>
      </c>
      <c r="J795" s="3">
        <v>1</v>
      </c>
      <c r="K795" t="s">
        <v>22</v>
      </c>
      <c r="L795" t="s">
        <v>32</v>
      </c>
      <c r="M795" s="3">
        <v>52</v>
      </c>
      <c r="N795" s="3" t="str" cm="1">
        <f t="array" ref="N795">_xlfn.IFS(M795&gt;59, "Pension Age", M795&gt;44, "Elderly (45+)", M795&gt;29, "Middle Age (30+)", M795&gt;22, "Adult (23+)", M795&gt;15, "Teen/Young Adult (16+)")</f>
        <v>Elderly (45+)</v>
      </c>
      <c r="O795" s="3" t="s">
        <v>15</v>
      </c>
    </row>
    <row r="796" spans="1:15" x14ac:dyDescent="0.3">
      <c r="A796" s="4">
        <v>20361</v>
      </c>
      <c r="B796" s="3" t="s">
        <v>39</v>
      </c>
      <c r="C796" s="3" t="s">
        <v>42</v>
      </c>
      <c r="D796" s="11">
        <v>50000</v>
      </c>
      <c r="E796" s="9" t="str" cm="1">
        <f t="array" ref="E796">_xlfn.IFS(D796&gt;149000, "Very High", D796&gt;99000, "High", D796&gt;59999, "Average", D796&gt;19999, "Low", D796&gt;0, "Poverty")</f>
        <v>Low</v>
      </c>
      <c r="F796" s="3">
        <v>2</v>
      </c>
      <c r="G796" t="s">
        <v>31</v>
      </c>
      <c r="H796" t="s">
        <v>28</v>
      </c>
      <c r="I796" s="3" t="s">
        <v>15</v>
      </c>
      <c r="J796" s="3">
        <v>2</v>
      </c>
      <c r="K796" t="s">
        <v>23</v>
      </c>
      <c r="L796" t="s">
        <v>32</v>
      </c>
      <c r="M796" s="3">
        <v>69</v>
      </c>
      <c r="N796" s="3" t="str" cm="1">
        <f t="array" ref="N796">_xlfn.IFS(M796&gt;59, "Pension Age", M796&gt;44, "Elderly (45+)", M796&gt;29, "Middle Age (30+)", M796&gt;22, "Adult (23+)", M796&gt;15, "Teen/Young Adult (16+)")</f>
        <v>Pension Age</v>
      </c>
      <c r="O796" s="3" t="s">
        <v>18</v>
      </c>
    </row>
    <row r="797" spans="1:15" x14ac:dyDescent="0.3">
      <c r="A797" s="4">
        <v>21306</v>
      </c>
      <c r="B797" s="3" t="s">
        <v>40</v>
      </c>
      <c r="C797" s="3" t="s">
        <v>42</v>
      </c>
      <c r="D797" s="11">
        <v>60000</v>
      </c>
      <c r="E797" s="9" t="str" cm="1">
        <f t="array" ref="E797">_xlfn.IFS(D797&gt;149000, "Very High", D797&gt;99000, "High", D797&gt;59999, "Average", D797&gt;19999, "Low", D797&gt;0, "Poverty")</f>
        <v>Average</v>
      </c>
      <c r="F797" s="3">
        <v>2</v>
      </c>
      <c r="G797" t="s">
        <v>27</v>
      </c>
      <c r="H797" t="s">
        <v>21</v>
      </c>
      <c r="I797" s="3" t="s">
        <v>15</v>
      </c>
      <c r="J797" s="3">
        <v>2</v>
      </c>
      <c r="K797" t="s">
        <v>23</v>
      </c>
      <c r="L797" t="s">
        <v>32</v>
      </c>
      <c r="M797" s="3">
        <v>51</v>
      </c>
      <c r="N797" s="3" t="str" cm="1">
        <f t="array" ref="N797">_xlfn.IFS(M797&gt;59, "Pension Age", M797&gt;44, "Elderly (45+)", M797&gt;29, "Middle Age (30+)", M797&gt;22, "Adult (23+)", M797&gt;15, "Teen/Young Adult (16+)")</f>
        <v>Elderly (45+)</v>
      </c>
      <c r="O797" s="3" t="s">
        <v>18</v>
      </c>
    </row>
    <row r="798" spans="1:15" x14ac:dyDescent="0.3">
      <c r="A798" s="4">
        <v>13382</v>
      </c>
      <c r="B798" s="3" t="s">
        <v>39</v>
      </c>
      <c r="C798" s="3" t="s">
        <v>42</v>
      </c>
      <c r="D798" s="11">
        <v>70000</v>
      </c>
      <c r="E798" s="9" t="str" cm="1">
        <f t="array" ref="E798">_xlfn.IFS(D798&gt;149000, "Very High", D798&gt;99000, "High", D798&gt;59999, "Average", D798&gt;19999, "Low", D798&gt;0, "Poverty")</f>
        <v>Average</v>
      </c>
      <c r="F798" s="3">
        <v>5</v>
      </c>
      <c r="G798" t="s">
        <v>19</v>
      </c>
      <c r="H798" t="s">
        <v>21</v>
      </c>
      <c r="I798" s="3" t="s">
        <v>15</v>
      </c>
      <c r="J798" s="3">
        <v>2</v>
      </c>
      <c r="K798" t="s">
        <v>26</v>
      </c>
      <c r="L798" t="s">
        <v>32</v>
      </c>
      <c r="M798" s="3">
        <v>57</v>
      </c>
      <c r="N798" s="3" t="str" cm="1">
        <f t="array" ref="N798">_xlfn.IFS(M798&gt;59, "Pension Age", M798&gt;44, "Elderly (45+)", M798&gt;29, "Middle Age (30+)", M798&gt;22, "Adult (23+)", M798&gt;15, "Teen/Young Adult (16+)")</f>
        <v>Elderly (45+)</v>
      </c>
      <c r="O798" s="3" t="s">
        <v>15</v>
      </c>
    </row>
    <row r="799" spans="1:15" x14ac:dyDescent="0.3">
      <c r="A799" s="4">
        <v>20310</v>
      </c>
      <c r="B799" s="3" t="s">
        <v>40</v>
      </c>
      <c r="C799" s="3" t="s">
        <v>42</v>
      </c>
      <c r="D799" s="11">
        <v>60000</v>
      </c>
      <c r="E799" s="9" t="str" cm="1">
        <f t="array" ref="E799">_xlfn.IFS(D799&gt;149000, "Very High", D799&gt;99000, "High", D799&gt;59999, "Average", D799&gt;19999, "Low", D799&gt;0, "Poverty")</f>
        <v>Average</v>
      </c>
      <c r="F799" s="3">
        <v>0</v>
      </c>
      <c r="G799" t="s">
        <v>19</v>
      </c>
      <c r="H799" t="s">
        <v>14</v>
      </c>
      <c r="I799" s="3" t="s">
        <v>15</v>
      </c>
      <c r="J799" s="3">
        <v>1</v>
      </c>
      <c r="K799" t="s">
        <v>23</v>
      </c>
      <c r="L799" t="s">
        <v>32</v>
      </c>
      <c r="M799" s="3">
        <v>27</v>
      </c>
      <c r="N799" s="3" t="str" cm="1">
        <f t="array" ref="N799">_xlfn.IFS(M799&gt;59, "Pension Age", M799&gt;44, "Elderly (45+)", M799&gt;29, "Middle Age (30+)", M799&gt;22, "Adult (23+)", M799&gt;15, "Teen/Young Adult (16+)")</f>
        <v>Adult (23+)</v>
      </c>
      <c r="O799" s="3" t="s">
        <v>15</v>
      </c>
    </row>
    <row r="800" spans="1:15" x14ac:dyDescent="0.3">
      <c r="A800" s="4">
        <v>22971</v>
      </c>
      <c r="B800" s="3" t="s">
        <v>40</v>
      </c>
      <c r="C800" s="3" t="s">
        <v>41</v>
      </c>
      <c r="D800" s="11">
        <v>30000</v>
      </c>
      <c r="E800" s="9" t="str" cm="1">
        <f t="array" ref="E800">_xlfn.IFS(D800&gt;149000, "Very High", D800&gt;99000, "High", D800&gt;59999, "Average", D800&gt;19999, "Low", D800&gt;0, "Poverty")</f>
        <v>Low</v>
      </c>
      <c r="F800" s="3">
        <v>0</v>
      </c>
      <c r="G800" t="s">
        <v>27</v>
      </c>
      <c r="H800" t="s">
        <v>14</v>
      </c>
      <c r="I800" s="3" t="s">
        <v>18</v>
      </c>
      <c r="J800" s="3">
        <v>2</v>
      </c>
      <c r="K800" t="s">
        <v>16</v>
      </c>
      <c r="L800" t="s">
        <v>32</v>
      </c>
      <c r="M800" s="3">
        <v>25</v>
      </c>
      <c r="N800" s="3" t="str" cm="1">
        <f t="array" ref="N800">_xlfn.IFS(M800&gt;59, "Pension Age", M800&gt;44, "Elderly (45+)", M800&gt;29, "Middle Age (30+)", M800&gt;22, "Adult (23+)", M800&gt;15, "Teen/Young Adult (16+)")</f>
        <v>Adult (23+)</v>
      </c>
      <c r="O800" s="3" t="s">
        <v>15</v>
      </c>
    </row>
    <row r="801" spans="1:15" x14ac:dyDescent="0.3">
      <c r="A801" s="4">
        <v>15287</v>
      </c>
      <c r="B801" s="3" t="s">
        <v>40</v>
      </c>
      <c r="C801" s="3" t="s">
        <v>41</v>
      </c>
      <c r="D801" s="11">
        <v>50000</v>
      </c>
      <c r="E801" s="9" t="str" cm="1">
        <f t="array" ref="E801">_xlfn.IFS(D801&gt;149000, "Very High", D801&gt;99000, "High", D801&gt;59999, "Average", D801&gt;19999, "Low", D801&gt;0, "Poverty")</f>
        <v>Low</v>
      </c>
      <c r="F801" s="3">
        <v>1</v>
      </c>
      <c r="G801" t="s">
        <v>31</v>
      </c>
      <c r="H801" t="s">
        <v>14</v>
      </c>
      <c r="I801" s="3" t="s">
        <v>15</v>
      </c>
      <c r="J801" s="3">
        <v>0</v>
      </c>
      <c r="K801" t="s">
        <v>26</v>
      </c>
      <c r="L801" t="s">
        <v>32</v>
      </c>
      <c r="M801" s="3">
        <v>33</v>
      </c>
      <c r="N801" s="3" t="str" cm="1">
        <f t="array" ref="N801">_xlfn.IFS(M801&gt;59, "Pension Age", M801&gt;44, "Elderly (45+)", M801&gt;29, "Middle Age (30+)", M801&gt;22, "Adult (23+)", M801&gt;15, "Teen/Young Adult (16+)")</f>
        <v>Middle Age (30+)</v>
      </c>
      <c r="O801" s="3" t="s">
        <v>15</v>
      </c>
    </row>
    <row r="802" spans="1:15" x14ac:dyDescent="0.3">
      <c r="A802" s="4">
        <v>15532</v>
      </c>
      <c r="B802" s="3" t="s">
        <v>40</v>
      </c>
      <c r="C802" s="3" t="s">
        <v>42</v>
      </c>
      <c r="D802" s="11">
        <v>60000</v>
      </c>
      <c r="E802" s="9" t="str" cm="1">
        <f t="array" ref="E802">_xlfn.IFS(D802&gt;149000, "Very High", D802&gt;99000, "High", D802&gt;59999, "Average", D802&gt;19999, "Low", D802&gt;0, "Poverty")</f>
        <v>Average</v>
      </c>
      <c r="F802" s="3">
        <v>4</v>
      </c>
      <c r="G802" t="s">
        <v>13</v>
      </c>
      <c r="H802" t="s">
        <v>21</v>
      </c>
      <c r="I802" s="3" t="s">
        <v>15</v>
      </c>
      <c r="J802" s="3">
        <v>2</v>
      </c>
      <c r="K802" t="s">
        <v>22</v>
      </c>
      <c r="L802" t="s">
        <v>32</v>
      </c>
      <c r="M802" s="3">
        <v>43</v>
      </c>
      <c r="N802" s="3" t="str" cm="1">
        <f t="array" ref="N802">_xlfn.IFS(M802&gt;59, "Pension Age", M802&gt;44, "Elderly (45+)", M802&gt;29, "Middle Age (30+)", M802&gt;22, "Adult (23+)", M802&gt;15, "Teen/Young Adult (16+)")</f>
        <v>Middle Age (30+)</v>
      </c>
      <c r="O802" s="3" t="s">
        <v>15</v>
      </c>
    </row>
    <row r="803" spans="1:15" x14ac:dyDescent="0.3">
      <c r="A803" s="4">
        <v>11255</v>
      </c>
      <c r="B803" s="3" t="s">
        <v>39</v>
      </c>
      <c r="C803" s="3" t="s">
        <v>42</v>
      </c>
      <c r="D803" s="11">
        <v>70000</v>
      </c>
      <c r="E803" s="9" t="str" cm="1">
        <f t="array" ref="E803">_xlfn.IFS(D803&gt;149000, "Very High", D803&gt;99000, "High", D803&gt;59999, "Average", D803&gt;19999, "Low", D803&gt;0, "Poverty")</f>
        <v>Average</v>
      </c>
      <c r="F803" s="3">
        <v>4</v>
      </c>
      <c r="G803" t="s">
        <v>31</v>
      </c>
      <c r="H803" t="s">
        <v>28</v>
      </c>
      <c r="I803" s="3" t="s">
        <v>15</v>
      </c>
      <c r="J803" s="3">
        <v>2</v>
      </c>
      <c r="K803" t="s">
        <v>23</v>
      </c>
      <c r="L803" t="s">
        <v>32</v>
      </c>
      <c r="M803" s="3">
        <v>73</v>
      </c>
      <c r="N803" s="3" t="str" cm="1">
        <f t="array" ref="N803">_xlfn.IFS(M803&gt;59, "Pension Age", M803&gt;44, "Elderly (45+)", M803&gt;29, "Middle Age (30+)", M803&gt;22, "Adult (23+)", M803&gt;15, "Teen/Young Adult (16+)")</f>
        <v>Pension Age</v>
      </c>
      <c r="O803" s="3" t="s">
        <v>18</v>
      </c>
    </row>
    <row r="804" spans="1:15" x14ac:dyDescent="0.3">
      <c r="A804" s="4">
        <v>28090</v>
      </c>
      <c r="B804" s="3" t="s">
        <v>39</v>
      </c>
      <c r="C804" s="3" t="s">
        <v>42</v>
      </c>
      <c r="D804" s="11">
        <v>40000</v>
      </c>
      <c r="E804" s="9" t="str" cm="1">
        <f t="array" ref="E804">_xlfn.IFS(D804&gt;149000, "Very High", D804&gt;99000, "High", D804&gt;59999, "Average", D804&gt;19999, "Low", D804&gt;0, "Poverty")</f>
        <v>Low</v>
      </c>
      <c r="F804" s="3">
        <v>0</v>
      </c>
      <c r="G804" t="s">
        <v>19</v>
      </c>
      <c r="H804" t="s">
        <v>14</v>
      </c>
      <c r="I804" s="3" t="s">
        <v>15</v>
      </c>
      <c r="J804" s="3">
        <v>1</v>
      </c>
      <c r="K804" t="s">
        <v>23</v>
      </c>
      <c r="L804" t="s">
        <v>32</v>
      </c>
      <c r="M804" s="3">
        <v>27</v>
      </c>
      <c r="N804" s="3" t="str" cm="1">
        <f t="array" ref="N804">_xlfn.IFS(M804&gt;59, "Pension Age", M804&gt;44, "Elderly (45+)", M804&gt;29, "Middle Age (30+)", M804&gt;22, "Adult (23+)", M804&gt;15, "Teen/Young Adult (16+)")</f>
        <v>Adult (23+)</v>
      </c>
      <c r="O804" s="3" t="s">
        <v>18</v>
      </c>
    </row>
    <row r="805" spans="1:15" x14ac:dyDescent="0.3">
      <c r="A805" s="4">
        <v>15255</v>
      </c>
      <c r="B805" s="3" t="s">
        <v>39</v>
      </c>
      <c r="C805" s="3" t="s">
        <v>42</v>
      </c>
      <c r="D805" s="11">
        <v>40000</v>
      </c>
      <c r="E805" s="9" t="str" cm="1">
        <f t="array" ref="E805">_xlfn.IFS(D805&gt;149000, "Very High", D805&gt;99000, "High", D805&gt;59999, "Average", D805&gt;19999, "Low", D805&gt;0, "Poverty")</f>
        <v>Low</v>
      </c>
      <c r="F805" s="3">
        <v>0</v>
      </c>
      <c r="G805" t="s">
        <v>27</v>
      </c>
      <c r="H805" t="s">
        <v>14</v>
      </c>
      <c r="I805" s="3" t="s">
        <v>15</v>
      </c>
      <c r="J805" s="3">
        <v>2</v>
      </c>
      <c r="K805" t="s">
        <v>23</v>
      </c>
      <c r="L805" t="s">
        <v>32</v>
      </c>
      <c r="M805" s="3">
        <v>28</v>
      </c>
      <c r="N805" s="3" t="str" cm="1">
        <f t="array" ref="N805">_xlfn.IFS(M805&gt;59, "Pension Age", M805&gt;44, "Elderly (45+)", M805&gt;29, "Middle Age (30+)", M805&gt;22, "Adult (23+)", M805&gt;15, "Teen/Young Adult (16+)")</f>
        <v>Adult (23+)</v>
      </c>
      <c r="O805" s="3" t="s">
        <v>15</v>
      </c>
    </row>
    <row r="806" spans="1:15" x14ac:dyDescent="0.3">
      <c r="A806" s="4">
        <v>13154</v>
      </c>
      <c r="B806" s="3" t="s">
        <v>39</v>
      </c>
      <c r="C806" s="3" t="s">
        <v>42</v>
      </c>
      <c r="D806" s="11">
        <v>40000</v>
      </c>
      <c r="E806" s="9" t="str" cm="1">
        <f t="array" ref="E806">_xlfn.IFS(D806&gt;149000, "Very High", D806&gt;99000, "High", D806&gt;59999, "Average", D806&gt;19999, "Low", D806&gt;0, "Poverty")</f>
        <v>Low</v>
      </c>
      <c r="F806" s="3">
        <v>0</v>
      </c>
      <c r="G806" t="s">
        <v>27</v>
      </c>
      <c r="H806" t="s">
        <v>14</v>
      </c>
      <c r="I806" s="3" t="s">
        <v>18</v>
      </c>
      <c r="J806" s="3">
        <v>2</v>
      </c>
      <c r="K806" t="s">
        <v>16</v>
      </c>
      <c r="L806" t="s">
        <v>32</v>
      </c>
      <c r="M806" s="3">
        <v>27</v>
      </c>
      <c r="N806" s="3" t="str" cm="1">
        <f t="array" ref="N806">_xlfn.IFS(M806&gt;59, "Pension Age", M806&gt;44, "Elderly (45+)", M806&gt;29, "Middle Age (30+)", M806&gt;22, "Adult (23+)", M806&gt;15, "Teen/Young Adult (16+)")</f>
        <v>Adult (23+)</v>
      </c>
      <c r="O806" s="3" t="s">
        <v>15</v>
      </c>
    </row>
    <row r="807" spans="1:15" x14ac:dyDescent="0.3">
      <c r="A807" s="4">
        <v>26778</v>
      </c>
      <c r="B807" s="3" t="s">
        <v>40</v>
      </c>
      <c r="C807" s="3" t="s">
        <v>41</v>
      </c>
      <c r="D807" s="11">
        <v>40000</v>
      </c>
      <c r="E807" s="9" t="str" cm="1">
        <f t="array" ref="E807">_xlfn.IFS(D807&gt;149000, "Very High", D807&gt;99000, "High", D807&gt;59999, "Average", D807&gt;19999, "Low", D807&gt;0, "Poverty")</f>
        <v>Low</v>
      </c>
      <c r="F807" s="3">
        <v>0</v>
      </c>
      <c r="G807" t="s">
        <v>27</v>
      </c>
      <c r="H807" t="s">
        <v>14</v>
      </c>
      <c r="I807" s="3" t="s">
        <v>15</v>
      </c>
      <c r="J807" s="3">
        <v>2</v>
      </c>
      <c r="K807" t="s">
        <v>23</v>
      </c>
      <c r="L807" t="s">
        <v>32</v>
      </c>
      <c r="M807" s="3">
        <v>31</v>
      </c>
      <c r="N807" s="3" t="str" cm="1">
        <f t="array" ref="N807">_xlfn.IFS(M807&gt;59, "Pension Age", M807&gt;44, "Elderly (45+)", M807&gt;29, "Middle Age (30+)", M807&gt;22, "Adult (23+)", M807&gt;15, "Teen/Young Adult (16+)")</f>
        <v>Middle Age (30+)</v>
      </c>
      <c r="O807" s="3" t="s">
        <v>18</v>
      </c>
    </row>
    <row r="808" spans="1:15" x14ac:dyDescent="0.3">
      <c r="A808" s="4">
        <v>23248</v>
      </c>
      <c r="B808" s="3" t="s">
        <v>39</v>
      </c>
      <c r="C808" s="3" t="s">
        <v>41</v>
      </c>
      <c r="D808" s="11">
        <v>10000</v>
      </c>
      <c r="E808" s="9" t="str" cm="1">
        <f t="array" ref="E808">_xlfn.IFS(D808&gt;149000, "Very High", D808&gt;99000, "High", D808&gt;59999, "Average", D808&gt;19999, "Low", D808&gt;0, "Poverty")</f>
        <v>Poverty</v>
      </c>
      <c r="F808" s="3">
        <v>2</v>
      </c>
      <c r="G808" t="s">
        <v>27</v>
      </c>
      <c r="H808" t="s">
        <v>25</v>
      </c>
      <c r="I808" s="3" t="s">
        <v>15</v>
      </c>
      <c r="J808" s="3">
        <v>2</v>
      </c>
      <c r="K808" t="s">
        <v>26</v>
      </c>
      <c r="L808" t="s">
        <v>32</v>
      </c>
      <c r="M808" s="3">
        <v>53</v>
      </c>
      <c r="N808" s="3" t="str" cm="1">
        <f t="array" ref="N808">_xlfn.IFS(M808&gt;59, "Pension Age", M808&gt;44, "Elderly (45+)", M808&gt;29, "Middle Age (30+)", M808&gt;22, "Adult (23+)", M808&gt;15, "Teen/Young Adult (16+)")</f>
        <v>Elderly (45+)</v>
      </c>
      <c r="O808" s="3" t="s">
        <v>18</v>
      </c>
    </row>
    <row r="809" spans="1:15" x14ac:dyDescent="0.3">
      <c r="A809" s="4">
        <v>21417</v>
      </c>
      <c r="B809" s="3" t="s">
        <v>40</v>
      </c>
      <c r="C809" s="3" t="s">
        <v>41</v>
      </c>
      <c r="D809" s="11">
        <v>60000</v>
      </c>
      <c r="E809" s="9" t="str" cm="1">
        <f t="array" ref="E809">_xlfn.IFS(D809&gt;149000, "Very High", D809&gt;99000, "High", D809&gt;59999, "Average", D809&gt;19999, "Low", D809&gt;0, "Poverty")</f>
        <v>Average</v>
      </c>
      <c r="F809" s="3">
        <v>0</v>
      </c>
      <c r="G809" t="s">
        <v>19</v>
      </c>
      <c r="H809" t="s">
        <v>21</v>
      </c>
      <c r="I809" s="3" t="s">
        <v>18</v>
      </c>
      <c r="J809" s="3">
        <v>2</v>
      </c>
      <c r="K809" t="s">
        <v>26</v>
      </c>
      <c r="L809" t="s">
        <v>32</v>
      </c>
      <c r="M809" s="3">
        <v>32</v>
      </c>
      <c r="N809" s="3" t="str" cm="1">
        <f t="array" ref="N809">_xlfn.IFS(M809&gt;59, "Pension Age", M809&gt;44, "Elderly (45+)", M809&gt;29, "Middle Age (30+)", M809&gt;22, "Adult (23+)", M809&gt;15, "Teen/Young Adult (16+)")</f>
        <v>Middle Age (30+)</v>
      </c>
      <c r="O809" s="3" t="s">
        <v>15</v>
      </c>
    </row>
    <row r="810" spans="1:15" x14ac:dyDescent="0.3">
      <c r="A810" s="4">
        <v>17668</v>
      </c>
      <c r="B810" s="3" t="s">
        <v>40</v>
      </c>
      <c r="C810" s="3" t="s">
        <v>42</v>
      </c>
      <c r="D810" s="11">
        <v>30000</v>
      </c>
      <c r="E810" s="9" t="str" cm="1">
        <f t="array" ref="E810">_xlfn.IFS(D810&gt;149000, "Very High", D810&gt;99000, "High", D810&gt;59999, "Average", D810&gt;19999, "Low", D810&gt;0, "Poverty")</f>
        <v>Low</v>
      </c>
      <c r="F810" s="3">
        <v>2</v>
      </c>
      <c r="G810" t="s">
        <v>27</v>
      </c>
      <c r="H810" t="s">
        <v>14</v>
      </c>
      <c r="I810" s="3" t="s">
        <v>15</v>
      </c>
      <c r="J810" s="3">
        <v>2</v>
      </c>
      <c r="K810" t="s">
        <v>26</v>
      </c>
      <c r="L810" t="s">
        <v>32</v>
      </c>
      <c r="M810" s="3">
        <v>50</v>
      </c>
      <c r="N810" s="3" t="str" cm="1">
        <f t="array" ref="N810">_xlfn.IFS(M810&gt;59, "Pension Age", M810&gt;44, "Elderly (45+)", M810&gt;29, "Middle Age (30+)", M810&gt;22, "Adult (23+)", M810&gt;15, "Teen/Young Adult (16+)")</f>
        <v>Elderly (45+)</v>
      </c>
      <c r="O810" s="3" t="s">
        <v>15</v>
      </c>
    </row>
    <row r="811" spans="1:15" x14ac:dyDescent="0.3">
      <c r="A811" s="4">
        <v>27994</v>
      </c>
      <c r="B811" s="3" t="s">
        <v>39</v>
      </c>
      <c r="C811" s="3" t="s">
        <v>41</v>
      </c>
      <c r="D811" s="11">
        <v>40000</v>
      </c>
      <c r="E811" s="9" t="str" cm="1">
        <f t="array" ref="E811">_xlfn.IFS(D811&gt;149000, "Very High", D811&gt;99000, "High", D811&gt;59999, "Average", D811&gt;19999, "Low", D811&gt;0, "Poverty")</f>
        <v>Low</v>
      </c>
      <c r="F811" s="3">
        <v>4</v>
      </c>
      <c r="G811" t="s">
        <v>27</v>
      </c>
      <c r="H811" t="s">
        <v>21</v>
      </c>
      <c r="I811" s="3" t="s">
        <v>15</v>
      </c>
      <c r="J811" s="3">
        <v>2</v>
      </c>
      <c r="K811" t="s">
        <v>23</v>
      </c>
      <c r="L811" t="s">
        <v>32</v>
      </c>
      <c r="M811" s="3">
        <v>69</v>
      </c>
      <c r="N811" s="3" t="str" cm="1">
        <f t="array" ref="N811">_xlfn.IFS(M811&gt;59, "Pension Age", M811&gt;44, "Elderly (45+)", M811&gt;29, "Middle Age (30+)", M811&gt;22, "Adult (23+)", M811&gt;15, "Teen/Young Adult (16+)")</f>
        <v>Pension Age</v>
      </c>
      <c r="O811" s="3" t="s">
        <v>18</v>
      </c>
    </row>
    <row r="812" spans="1:15" x14ac:dyDescent="0.3">
      <c r="A812" s="4">
        <v>20376</v>
      </c>
      <c r="B812" s="3" t="s">
        <v>40</v>
      </c>
      <c r="C812" s="3" t="s">
        <v>41</v>
      </c>
      <c r="D812" s="11">
        <v>70000</v>
      </c>
      <c r="E812" s="9" t="str" cm="1">
        <f t="array" ref="E812">_xlfn.IFS(D812&gt;149000, "Very High", D812&gt;99000, "High", D812&gt;59999, "Average", D812&gt;19999, "Low", D812&gt;0, "Poverty")</f>
        <v>Average</v>
      </c>
      <c r="F812" s="3">
        <v>3</v>
      </c>
      <c r="G812" t="s">
        <v>31</v>
      </c>
      <c r="H812" t="s">
        <v>28</v>
      </c>
      <c r="I812" s="3" t="s">
        <v>15</v>
      </c>
      <c r="J812" s="3">
        <v>2</v>
      </c>
      <c r="K812" t="s">
        <v>23</v>
      </c>
      <c r="L812" t="s">
        <v>32</v>
      </c>
      <c r="M812" s="3">
        <v>52</v>
      </c>
      <c r="N812" s="3" t="str" cm="1">
        <f t="array" ref="N812">_xlfn.IFS(M812&gt;59, "Pension Age", M812&gt;44, "Elderly (45+)", M812&gt;29, "Middle Age (30+)", M812&gt;22, "Adult (23+)", M812&gt;15, "Teen/Young Adult (16+)")</f>
        <v>Elderly (45+)</v>
      </c>
      <c r="O812" s="3" t="s">
        <v>15</v>
      </c>
    </row>
    <row r="813" spans="1:15" x14ac:dyDescent="0.3">
      <c r="A813" s="4">
        <v>25954</v>
      </c>
      <c r="B813" s="3" t="s">
        <v>39</v>
      </c>
      <c r="C813" s="3" t="s">
        <v>42</v>
      </c>
      <c r="D813" s="11">
        <v>60000</v>
      </c>
      <c r="E813" s="9" t="str" cm="1">
        <f t="array" ref="E813">_xlfn.IFS(D813&gt;149000, "Very High", D813&gt;99000, "High", D813&gt;59999, "Average", D813&gt;19999, "Low", D813&gt;0, "Poverty")</f>
        <v>Average</v>
      </c>
      <c r="F813" s="3">
        <v>0</v>
      </c>
      <c r="G813" t="s">
        <v>19</v>
      </c>
      <c r="H813" t="s">
        <v>14</v>
      </c>
      <c r="I813" s="3" t="s">
        <v>18</v>
      </c>
      <c r="J813" s="3">
        <v>2</v>
      </c>
      <c r="K813" t="s">
        <v>26</v>
      </c>
      <c r="L813" t="s">
        <v>32</v>
      </c>
      <c r="M813" s="3">
        <v>31</v>
      </c>
      <c r="N813" s="3" t="str" cm="1">
        <f t="array" ref="N813">_xlfn.IFS(M813&gt;59, "Pension Age", M813&gt;44, "Elderly (45+)", M813&gt;29, "Middle Age (30+)", M813&gt;22, "Adult (23+)", M813&gt;15, "Teen/Young Adult (16+)")</f>
        <v>Middle Age (30+)</v>
      </c>
      <c r="O813" s="3" t="s">
        <v>18</v>
      </c>
    </row>
    <row r="814" spans="1:15" x14ac:dyDescent="0.3">
      <c r="A814" s="4">
        <v>15749</v>
      </c>
      <c r="B814" s="3" t="s">
        <v>40</v>
      </c>
      <c r="C814" s="3" t="s">
        <v>41</v>
      </c>
      <c r="D814" s="11">
        <v>70000</v>
      </c>
      <c r="E814" s="9" t="str" cm="1">
        <f t="array" ref="E814">_xlfn.IFS(D814&gt;149000, "Very High", D814&gt;99000, "High", D814&gt;59999, "Average", D814&gt;19999, "Low", D814&gt;0, "Poverty")</f>
        <v>Average</v>
      </c>
      <c r="F814" s="3">
        <v>4</v>
      </c>
      <c r="G814" t="s">
        <v>13</v>
      </c>
      <c r="H814" t="s">
        <v>28</v>
      </c>
      <c r="I814" s="3" t="s">
        <v>15</v>
      </c>
      <c r="J814" s="3">
        <v>2</v>
      </c>
      <c r="K814" t="s">
        <v>30</v>
      </c>
      <c r="L814" t="s">
        <v>32</v>
      </c>
      <c r="M814" s="3">
        <v>61</v>
      </c>
      <c r="N814" s="3" t="str" cm="1">
        <f t="array" ref="N814">_xlfn.IFS(M814&gt;59, "Pension Age", M814&gt;44, "Elderly (45+)", M814&gt;29, "Middle Age (30+)", M814&gt;22, "Adult (23+)", M814&gt;15, "Teen/Young Adult (16+)")</f>
        <v>Pension Age</v>
      </c>
      <c r="O814" s="3" t="s">
        <v>18</v>
      </c>
    </row>
    <row r="815" spans="1:15" x14ac:dyDescent="0.3">
      <c r="A815" s="4">
        <v>25899</v>
      </c>
      <c r="B815" s="3" t="s">
        <v>39</v>
      </c>
      <c r="C815" s="3" t="s">
        <v>41</v>
      </c>
      <c r="D815" s="11">
        <v>70000</v>
      </c>
      <c r="E815" s="9" t="str" cm="1">
        <f t="array" ref="E815">_xlfn.IFS(D815&gt;149000, "Very High", D815&gt;99000, "High", D815&gt;59999, "Average", D815&gt;19999, "Low", D815&gt;0, "Poverty")</f>
        <v>Average</v>
      </c>
      <c r="F815" s="3">
        <v>2</v>
      </c>
      <c r="G815" t="s">
        <v>27</v>
      </c>
      <c r="H815" t="s">
        <v>21</v>
      </c>
      <c r="I815" s="3" t="s">
        <v>15</v>
      </c>
      <c r="J815" s="3">
        <v>2</v>
      </c>
      <c r="K815" t="s">
        <v>30</v>
      </c>
      <c r="L815" t="s">
        <v>32</v>
      </c>
      <c r="M815" s="3">
        <v>53</v>
      </c>
      <c r="N815" s="3" t="str" cm="1">
        <f t="array" ref="N815">_xlfn.IFS(M815&gt;59, "Pension Age", M815&gt;44, "Elderly (45+)", M815&gt;29, "Middle Age (30+)", M815&gt;22, "Adult (23+)", M815&gt;15, "Teen/Young Adult (16+)")</f>
        <v>Elderly (45+)</v>
      </c>
      <c r="O815" s="3" t="s">
        <v>18</v>
      </c>
    </row>
    <row r="816" spans="1:15" x14ac:dyDescent="0.3">
      <c r="A816" s="4">
        <v>13351</v>
      </c>
      <c r="B816" s="3" t="s">
        <v>40</v>
      </c>
      <c r="C816" s="3" t="s">
        <v>41</v>
      </c>
      <c r="D816" s="11">
        <v>70000</v>
      </c>
      <c r="E816" s="9" t="str" cm="1">
        <f t="array" ref="E816">_xlfn.IFS(D816&gt;149000, "Very High", D816&gt;99000, "High", D816&gt;59999, "Average", D816&gt;19999, "Low", D816&gt;0, "Poverty")</f>
        <v>Average</v>
      </c>
      <c r="F816" s="3">
        <v>4</v>
      </c>
      <c r="G816" t="s">
        <v>13</v>
      </c>
      <c r="H816" t="s">
        <v>28</v>
      </c>
      <c r="I816" s="3" t="s">
        <v>15</v>
      </c>
      <c r="J816" s="3">
        <v>2</v>
      </c>
      <c r="K816" t="s">
        <v>26</v>
      </c>
      <c r="L816" t="s">
        <v>32</v>
      </c>
      <c r="M816" s="3">
        <v>62</v>
      </c>
      <c r="N816" s="3" t="str" cm="1">
        <f t="array" ref="N816">_xlfn.IFS(M816&gt;59, "Pension Age", M816&gt;44, "Elderly (45+)", M816&gt;29, "Middle Age (30+)", M816&gt;22, "Adult (23+)", M816&gt;15, "Teen/Young Adult (16+)")</f>
        <v>Pension Age</v>
      </c>
      <c r="O816" s="3" t="s">
        <v>15</v>
      </c>
    </row>
    <row r="817" spans="1:15" x14ac:dyDescent="0.3">
      <c r="A817" s="4">
        <v>23333</v>
      </c>
      <c r="B817" s="3" t="s">
        <v>39</v>
      </c>
      <c r="C817" s="3" t="s">
        <v>42</v>
      </c>
      <c r="D817" s="11">
        <v>40000</v>
      </c>
      <c r="E817" s="9" t="str" cm="1">
        <f t="array" ref="E817">_xlfn.IFS(D817&gt;149000, "Very High", D817&gt;99000, "High", D817&gt;59999, "Average", D817&gt;19999, "Low", D817&gt;0, "Poverty")</f>
        <v>Low</v>
      </c>
      <c r="F817" s="3">
        <v>0</v>
      </c>
      <c r="G817" t="s">
        <v>19</v>
      </c>
      <c r="H817" t="s">
        <v>14</v>
      </c>
      <c r="I817" s="3" t="s">
        <v>18</v>
      </c>
      <c r="J817" s="3">
        <v>2</v>
      </c>
      <c r="K817" t="s">
        <v>26</v>
      </c>
      <c r="L817" t="s">
        <v>32</v>
      </c>
      <c r="M817" s="3">
        <v>30</v>
      </c>
      <c r="N817" s="3" t="str" cm="1">
        <f t="array" ref="N817">_xlfn.IFS(M817&gt;59, "Pension Age", M817&gt;44, "Elderly (45+)", M817&gt;29, "Middle Age (30+)", M817&gt;22, "Adult (23+)", M817&gt;15, "Teen/Young Adult (16+)")</f>
        <v>Middle Age (30+)</v>
      </c>
      <c r="O817" s="3" t="s">
        <v>18</v>
      </c>
    </row>
    <row r="818" spans="1:15" x14ac:dyDescent="0.3">
      <c r="A818" s="4">
        <v>21660</v>
      </c>
      <c r="B818" s="3" t="s">
        <v>39</v>
      </c>
      <c r="C818" s="3" t="s">
        <v>41</v>
      </c>
      <c r="D818" s="11">
        <v>60000</v>
      </c>
      <c r="E818" s="9" t="str" cm="1">
        <f t="array" ref="E818">_xlfn.IFS(D818&gt;149000, "Very High", D818&gt;99000, "High", D818&gt;59999, "Average", D818&gt;19999, "Low", D818&gt;0, "Poverty")</f>
        <v>Average</v>
      </c>
      <c r="F818" s="3">
        <v>3</v>
      </c>
      <c r="G818" t="s">
        <v>31</v>
      </c>
      <c r="H818" t="s">
        <v>21</v>
      </c>
      <c r="I818" s="3" t="s">
        <v>15</v>
      </c>
      <c r="J818" s="3">
        <v>0</v>
      </c>
      <c r="K818" t="s">
        <v>22</v>
      </c>
      <c r="L818" t="s">
        <v>32</v>
      </c>
      <c r="M818" s="3">
        <v>43</v>
      </c>
      <c r="N818" s="3" t="str" cm="1">
        <f t="array" ref="N818">_xlfn.IFS(M818&gt;59, "Pension Age", M818&gt;44, "Elderly (45+)", M818&gt;29, "Middle Age (30+)", M818&gt;22, "Adult (23+)", M818&gt;15, "Teen/Young Adult (16+)")</f>
        <v>Middle Age (30+)</v>
      </c>
      <c r="O818" s="3" t="s">
        <v>15</v>
      </c>
    </row>
    <row r="819" spans="1:15" x14ac:dyDescent="0.3">
      <c r="A819" s="4">
        <v>17012</v>
      </c>
      <c r="B819" s="3" t="s">
        <v>39</v>
      </c>
      <c r="C819" s="3" t="s">
        <v>41</v>
      </c>
      <c r="D819" s="11">
        <v>60000</v>
      </c>
      <c r="E819" s="9" t="str" cm="1">
        <f t="array" ref="E819">_xlfn.IFS(D819&gt;149000, "Very High", D819&gt;99000, "High", D819&gt;59999, "Average", D819&gt;19999, "Low", D819&gt;0, "Poverty")</f>
        <v>Average</v>
      </c>
      <c r="F819" s="3">
        <v>3</v>
      </c>
      <c r="G819" t="s">
        <v>31</v>
      </c>
      <c r="H819" t="s">
        <v>21</v>
      </c>
      <c r="I819" s="3" t="s">
        <v>15</v>
      </c>
      <c r="J819" s="3">
        <v>0</v>
      </c>
      <c r="K819" t="s">
        <v>22</v>
      </c>
      <c r="L819" t="s">
        <v>32</v>
      </c>
      <c r="M819" s="3">
        <v>42</v>
      </c>
      <c r="N819" s="3" t="str" cm="1">
        <f t="array" ref="N819">_xlfn.IFS(M819&gt;59, "Pension Age", M819&gt;44, "Elderly (45+)", M819&gt;29, "Middle Age (30+)", M819&gt;22, "Adult (23+)", M819&gt;15, "Teen/Young Adult (16+)")</f>
        <v>Middle Age (30+)</v>
      </c>
      <c r="O819" s="3" t="s">
        <v>15</v>
      </c>
    </row>
    <row r="820" spans="1:15" x14ac:dyDescent="0.3">
      <c r="A820" s="4">
        <v>24514</v>
      </c>
      <c r="B820" s="3" t="s">
        <v>39</v>
      </c>
      <c r="C820" s="3" t="s">
        <v>42</v>
      </c>
      <c r="D820" s="11">
        <v>40000</v>
      </c>
      <c r="E820" s="9" t="str" cm="1">
        <f t="array" ref="E820">_xlfn.IFS(D820&gt;149000, "Very High", D820&gt;99000, "High", D820&gt;59999, "Average", D820&gt;19999, "Low", D820&gt;0, "Poverty")</f>
        <v>Low</v>
      </c>
      <c r="F820" s="3">
        <v>0</v>
      </c>
      <c r="G820" t="s">
        <v>19</v>
      </c>
      <c r="H820" t="s">
        <v>14</v>
      </c>
      <c r="I820" s="3" t="s">
        <v>15</v>
      </c>
      <c r="J820" s="3">
        <v>1</v>
      </c>
      <c r="K820" t="s">
        <v>23</v>
      </c>
      <c r="L820" t="s">
        <v>32</v>
      </c>
      <c r="M820" s="3">
        <v>30</v>
      </c>
      <c r="N820" s="3" t="str" cm="1">
        <f t="array" ref="N820">_xlfn.IFS(M820&gt;59, "Pension Age", M820&gt;44, "Elderly (45+)", M820&gt;29, "Middle Age (30+)", M820&gt;22, "Adult (23+)", M820&gt;15, "Teen/Young Adult (16+)")</f>
        <v>Middle Age (30+)</v>
      </c>
      <c r="O820" s="3" t="s">
        <v>18</v>
      </c>
    </row>
    <row r="821" spans="1:15" x14ac:dyDescent="0.3">
      <c r="A821" s="4">
        <v>27505</v>
      </c>
      <c r="B821" s="3" t="s">
        <v>40</v>
      </c>
      <c r="C821" s="3" t="s">
        <v>41</v>
      </c>
      <c r="D821" s="11">
        <v>40000</v>
      </c>
      <c r="E821" s="9" t="str" cm="1">
        <f t="array" ref="E821">_xlfn.IFS(D821&gt;149000, "Very High", D821&gt;99000, "High", D821&gt;59999, "Average", D821&gt;19999, "Low", D821&gt;0, "Poverty")</f>
        <v>Low</v>
      </c>
      <c r="F821" s="3">
        <v>0</v>
      </c>
      <c r="G821" t="s">
        <v>27</v>
      </c>
      <c r="H821" t="s">
        <v>14</v>
      </c>
      <c r="I821" s="3" t="s">
        <v>15</v>
      </c>
      <c r="J821" s="3">
        <v>2</v>
      </c>
      <c r="K821" t="s">
        <v>23</v>
      </c>
      <c r="L821" t="s">
        <v>32</v>
      </c>
      <c r="M821" s="3">
        <v>30</v>
      </c>
      <c r="N821" s="3" t="str" cm="1">
        <f t="array" ref="N821">_xlfn.IFS(M821&gt;59, "Pension Age", M821&gt;44, "Elderly (45+)", M821&gt;29, "Middle Age (30+)", M821&gt;22, "Adult (23+)", M821&gt;15, "Teen/Young Adult (16+)")</f>
        <v>Middle Age (30+)</v>
      </c>
      <c r="O821" s="3" t="s">
        <v>18</v>
      </c>
    </row>
    <row r="822" spans="1:15" x14ac:dyDescent="0.3">
      <c r="A822" s="4">
        <v>29243</v>
      </c>
      <c r="B822" s="3" t="s">
        <v>40</v>
      </c>
      <c r="C822" s="3" t="s">
        <v>42</v>
      </c>
      <c r="D822" s="11">
        <v>110000</v>
      </c>
      <c r="E822" s="9" t="str" cm="1">
        <f t="array" ref="E822">_xlfn.IFS(D822&gt;149000, "Very High", D822&gt;99000, "High", D822&gt;59999, "Average", D822&gt;19999, "Low", D822&gt;0, "Poverty")</f>
        <v>High</v>
      </c>
      <c r="F822" s="3">
        <v>1</v>
      </c>
      <c r="G822" t="s">
        <v>13</v>
      </c>
      <c r="H822" t="s">
        <v>28</v>
      </c>
      <c r="I822" s="3" t="s">
        <v>15</v>
      </c>
      <c r="J822" s="3">
        <v>1</v>
      </c>
      <c r="K822" t="s">
        <v>23</v>
      </c>
      <c r="L822" t="s">
        <v>32</v>
      </c>
      <c r="M822" s="3">
        <v>43</v>
      </c>
      <c r="N822" s="3" t="str" cm="1">
        <f t="array" ref="N822">_xlfn.IFS(M822&gt;59, "Pension Age", M822&gt;44, "Elderly (45+)", M822&gt;29, "Middle Age (30+)", M822&gt;22, "Adult (23+)", M822&gt;15, "Teen/Young Adult (16+)")</f>
        <v>Middle Age (30+)</v>
      </c>
      <c r="O822" s="3" t="s">
        <v>18</v>
      </c>
    </row>
    <row r="823" spans="1:15" x14ac:dyDescent="0.3">
      <c r="A823" s="4">
        <v>26582</v>
      </c>
      <c r="B823" s="3" t="s">
        <v>39</v>
      </c>
      <c r="C823" s="3" t="s">
        <v>42</v>
      </c>
      <c r="D823" s="11">
        <v>60000</v>
      </c>
      <c r="E823" s="9" t="str" cm="1">
        <f t="array" ref="E823">_xlfn.IFS(D823&gt;149000, "Very High", D823&gt;99000, "High", D823&gt;59999, "Average", D823&gt;19999, "Low", D823&gt;0, "Poverty")</f>
        <v>Average</v>
      </c>
      <c r="F823" s="3">
        <v>0</v>
      </c>
      <c r="G823" t="s">
        <v>19</v>
      </c>
      <c r="H823" t="s">
        <v>14</v>
      </c>
      <c r="I823" s="3" t="s">
        <v>15</v>
      </c>
      <c r="J823" s="3">
        <v>2</v>
      </c>
      <c r="K823" t="s">
        <v>23</v>
      </c>
      <c r="L823" t="s">
        <v>32</v>
      </c>
      <c r="M823" s="3">
        <v>33</v>
      </c>
      <c r="N823" s="3" t="str" cm="1">
        <f t="array" ref="N823">_xlfn.IFS(M823&gt;59, "Pension Age", M823&gt;44, "Elderly (45+)", M823&gt;29, "Middle Age (30+)", M823&gt;22, "Adult (23+)", M823&gt;15, "Teen/Young Adult (16+)")</f>
        <v>Middle Age (30+)</v>
      </c>
      <c r="O823" s="3" t="s">
        <v>15</v>
      </c>
    </row>
    <row r="824" spans="1:15" x14ac:dyDescent="0.3">
      <c r="A824" s="4">
        <v>14271</v>
      </c>
      <c r="B824" s="3" t="s">
        <v>39</v>
      </c>
      <c r="C824" s="3" t="s">
        <v>42</v>
      </c>
      <c r="D824" s="11">
        <v>30000</v>
      </c>
      <c r="E824" s="9" t="str" cm="1">
        <f t="array" ref="E824">_xlfn.IFS(D824&gt;149000, "Very High", D824&gt;99000, "High", D824&gt;59999, "Average", D824&gt;19999, "Low", D824&gt;0, "Poverty")</f>
        <v>Low</v>
      </c>
      <c r="F824" s="3">
        <v>0</v>
      </c>
      <c r="G824" t="s">
        <v>27</v>
      </c>
      <c r="H824" t="s">
        <v>14</v>
      </c>
      <c r="I824" s="3" t="s">
        <v>15</v>
      </c>
      <c r="J824" s="3">
        <v>2</v>
      </c>
      <c r="K824" t="s">
        <v>23</v>
      </c>
      <c r="L824" t="s">
        <v>32</v>
      </c>
      <c r="M824" s="3">
        <v>32</v>
      </c>
      <c r="N824" s="3" t="str" cm="1">
        <f t="array" ref="N824">_xlfn.IFS(M824&gt;59, "Pension Age", M824&gt;44, "Elderly (45+)", M824&gt;29, "Middle Age (30+)", M824&gt;22, "Adult (23+)", M824&gt;15, "Teen/Young Adult (16+)")</f>
        <v>Middle Age (30+)</v>
      </c>
      <c r="O824" s="3" t="s">
        <v>18</v>
      </c>
    </row>
    <row r="825" spans="1:15" x14ac:dyDescent="0.3">
      <c r="A825" s="4">
        <v>23041</v>
      </c>
      <c r="B825" s="3" t="s">
        <v>40</v>
      </c>
      <c r="C825" s="3" t="s">
        <v>41</v>
      </c>
      <c r="D825" s="11">
        <v>70000</v>
      </c>
      <c r="E825" s="9" t="str" cm="1">
        <f t="array" ref="E825">_xlfn.IFS(D825&gt;149000, "Very High", D825&gt;99000, "High", D825&gt;59999, "Average", D825&gt;19999, "Low", D825&gt;0, "Poverty")</f>
        <v>Average</v>
      </c>
      <c r="F825" s="3">
        <v>4</v>
      </c>
      <c r="G825" t="s">
        <v>27</v>
      </c>
      <c r="H825" t="s">
        <v>21</v>
      </c>
      <c r="I825" s="3" t="s">
        <v>15</v>
      </c>
      <c r="J825" s="3">
        <v>0</v>
      </c>
      <c r="K825" t="s">
        <v>23</v>
      </c>
      <c r="L825" t="s">
        <v>32</v>
      </c>
      <c r="M825" s="3">
        <v>50</v>
      </c>
      <c r="N825" s="3" t="str" cm="1">
        <f t="array" ref="N825">_xlfn.IFS(M825&gt;59, "Pension Age", M825&gt;44, "Elderly (45+)", M825&gt;29, "Middle Age (30+)", M825&gt;22, "Adult (23+)", M825&gt;15, "Teen/Young Adult (16+)")</f>
        <v>Elderly (45+)</v>
      </c>
      <c r="O825" s="3" t="s">
        <v>15</v>
      </c>
    </row>
    <row r="826" spans="1:15" x14ac:dyDescent="0.3">
      <c r="A826" s="4">
        <v>29048</v>
      </c>
      <c r="B826" s="3" t="s">
        <v>40</v>
      </c>
      <c r="C826" s="3" t="s">
        <v>42</v>
      </c>
      <c r="D826" s="11">
        <v>110000</v>
      </c>
      <c r="E826" s="9" t="str" cm="1">
        <f t="array" ref="E826">_xlfn.IFS(D826&gt;149000, "Very High", D826&gt;99000, "High", D826&gt;59999, "Average", D826&gt;19999, "Low", D826&gt;0, "Poverty")</f>
        <v>High</v>
      </c>
      <c r="F826" s="3">
        <v>2</v>
      </c>
      <c r="G826" t="s">
        <v>13</v>
      </c>
      <c r="H826" t="s">
        <v>28</v>
      </c>
      <c r="I826" s="3" t="s">
        <v>18</v>
      </c>
      <c r="J826" s="3">
        <v>3</v>
      </c>
      <c r="K826" t="s">
        <v>16</v>
      </c>
      <c r="L826" t="s">
        <v>32</v>
      </c>
      <c r="M826" s="3">
        <v>37</v>
      </c>
      <c r="N826" s="3" t="str" cm="1">
        <f t="array" ref="N826">_xlfn.IFS(M826&gt;59, "Pension Age", M826&gt;44, "Elderly (45+)", M826&gt;29, "Middle Age (30+)", M826&gt;22, "Adult (23+)", M826&gt;15, "Teen/Young Adult (16+)")</f>
        <v>Middle Age (30+)</v>
      </c>
      <c r="O826" s="3" t="s">
        <v>15</v>
      </c>
    </row>
    <row r="827" spans="1:15" x14ac:dyDescent="0.3">
      <c r="A827" s="4">
        <v>24433</v>
      </c>
      <c r="B827" s="3" t="s">
        <v>39</v>
      </c>
      <c r="C827" s="3" t="s">
        <v>42</v>
      </c>
      <c r="D827" s="11">
        <v>70000</v>
      </c>
      <c r="E827" s="9" t="str" cm="1">
        <f t="array" ref="E827">_xlfn.IFS(D827&gt;149000, "Very High", D827&gt;99000, "High", D827&gt;59999, "Average", D827&gt;19999, "Low", D827&gt;0, "Poverty")</f>
        <v>Average</v>
      </c>
      <c r="F827" s="3">
        <v>3</v>
      </c>
      <c r="G827" t="s">
        <v>27</v>
      </c>
      <c r="H827" t="s">
        <v>21</v>
      </c>
      <c r="I827" s="3" t="s">
        <v>18</v>
      </c>
      <c r="J827" s="3">
        <v>1</v>
      </c>
      <c r="K827" t="s">
        <v>26</v>
      </c>
      <c r="L827" t="s">
        <v>32</v>
      </c>
      <c r="M827" s="3">
        <v>52</v>
      </c>
      <c r="N827" s="3" t="str" cm="1">
        <f t="array" ref="N827">_xlfn.IFS(M827&gt;59, "Pension Age", M827&gt;44, "Elderly (45+)", M827&gt;29, "Middle Age (30+)", M827&gt;22, "Adult (23+)", M827&gt;15, "Teen/Young Adult (16+)")</f>
        <v>Elderly (45+)</v>
      </c>
      <c r="O827" s="3" t="s">
        <v>15</v>
      </c>
    </row>
    <row r="828" spans="1:15" x14ac:dyDescent="0.3">
      <c r="A828" s="4">
        <v>15501</v>
      </c>
      <c r="B828" s="3" t="s">
        <v>39</v>
      </c>
      <c r="C828" s="3" t="s">
        <v>42</v>
      </c>
      <c r="D828" s="11">
        <v>70000</v>
      </c>
      <c r="E828" s="9" t="str" cm="1">
        <f t="array" ref="E828">_xlfn.IFS(D828&gt;149000, "Very High", D828&gt;99000, "High", D828&gt;59999, "Average", D828&gt;19999, "Low", D828&gt;0, "Poverty")</f>
        <v>Average</v>
      </c>
      <c r="F828" s="3">
        <v>4</v>
      </c>
      <c r="G828" t="s">
        <v>31</v>
      </c>
      <c r="H828" t="s">
        <v>21</v>
      </c>
      <c r="I828" s="3" t="s">
        <v>15</v>
      </c>
      <c r="J828" s="3">
        <v>0</v>
      </c>
      <c r="K828" t="s">
        <v>22</v>
      </c>
      <c r="L828" t="s">
        <v>32</v>
      </c>
      <c r="M828" s="3">
        <v>36</v>
      </c>
      <c r="N828" s="3" t="str" cm="1">
        <f t="array" ref="N828">_xlfn.IFS(M828&gt;59, "Pension Age", M828&gt;44, "Elderly (45+)", M828&gt;29, "Middle Age (30+)", M828&gt;22, "Adult (23+)", M828&gt;15, "Teen/Young Adult (16+)")</f>
        <v>Middle Age (30+)</v>
      </c>
      <c r="O828" s="3" t="s">
        <v>15</v>
      </c>
    </row>
    <row r="829" spans="1:15" x14ac:dyDescent="0.3">
      <c r="A829" s="4">
        <v>13911</v>
      </c>
      <c r="B829" s="3" t="s">
        <v>40</v>
      </c>
      <c r="C829" s="3" t="s">
        <v>41</v>
      </c>
      <c r="D829" s="11">
        <v>80000</v>
      </c>
      <c r="E829" s="9" t="str" cm="1">
        <f t="array" ref="E829">_xlfn.IFS(D829&gt;149000, "Very High", D829&gt;99000, "High", D829&gt;59999, "Average", D829&gt;19999, "Low", D829&gt;0, "Poverty")</f>
        <v>Average</v>
      </c>
      <c r="F829" s="3">
        <v>3</v>
      </c>
      <c r="G829" t="s">
        <v>13</v>
      </c>
      <c r="H829" t="s">
        <v>14</v>
      </c>
      <c r="I829" s="3" t="s">
        <v>15</v>
      </c>
      <c r="J829" s="3">
        <v>2</v>
      </c>
      <c r="K829" t="s">
        <v>22</v>
      </c>
      <c r="L829" t="s">
        <v>32</v>
      </c>
      <c r="M829" s="3">
        <v>41</v>
      </c>
      <c r="N829" s="3" t="str" cm="1">
        <f t="array" ref="N829">_xlfn.IFS(M829&gt;59, "Pension Age", M829&gt;44, "Elderly (45+)", M829&gt;29, "Middle Age (30+)", M829&gt;22, "Adult (23+)", M829&gt;15, "Teen/Young Adult (16+)")</f>
        <v>Middle Age (30+)</v>
      </c>
      <c r="O829" s="3" t="s">
        <v>15</v>
      </c>
    </row>
    <row r="830" spans="1:15" x14ac:dyDescent="0.3">
      <c r="A830" s="4">
        <v>20421</v>
      </c>
      <c r="B830" s="3" t="s">
        <v>40</v>
      </c>
      <c r="C830" s="3" t="s">
        <v>41</v>
      </c>
      <c r="D830" s="11">
        <v>40000</v>
      </c>
      <c r="E830" s="9" t="str" cm="1">
        <f t="array" ref="E830">_xlfn.IFS(D830&gt;149000, "Very High", D830&gt;99000, "High", D830&gt;59999, "Average", D830&gt;19999, "Low", D830&gt;0, "Poverty")</f>
        <v>Low</v>
      </c>
      <c r="F830" s="3">
        <v>0</v>
      </c>
      <c r="G830" t="s">
        <v>29</v>
      </c>
      <c r="H830" t="s">
        <v>20</v>
      </c>
      <c r="I830" s="3" t="s">
        <v>15</v>
      </c>
      <c r="J830" s="3">
        <v>2</v>
      </c>
      <c r="K830" t="s">
        <v>23</v>
      </c>
      <c r="L830" t="s">
        <v>32</v>
      </c>
      <c r="M830" s="3">
        <v>26</v>
      </c>
      <c r="N830" s="3" t="str" cm="1">
        <f t="array" ref="N830">_xlfn.IFS(M830&gt;59, "Pension Age", M830&gt;44, "Elderly (45+)", M830&gt;29, "Middle Age (30+)", M830&gt;22, "Adult (23+)", M830&gt;15, "Teen/Young Adult (16+)")</f>
        <v>Adult (23+)</v>
      </c>
      <c r="O830" s="3" t="s">
        <v>18</v>
      </c>
    </row>
    <row r="831" spans="1:15" x14ac:dyDescent="0.3">
      <c r="A831" s="4">
        <v>16009</v>
      </c>
      <c r="B831" s="3" t="s">
        <v>40</v>
      </c>
      <c r="C831" s="3" t="s">
        <v>42</v>
      </c>
      <c r="D831" s="11">
        <v>170000</v>
      </c>
      <c r="E831" s="9" t="str" cm="1">
        <f t="array" ref="E831">_xlfn.IFS(D831&gt;149000, "Very High", D831&gt;99000, "High", D831&gt;59999, "Average", D831&gt;19999, "Low", D831&gt;0, "Poverty")</f>
        <v>Very High</v>
      </c>
      <c r="F831" s="3">
        <v>1</v>
      </c>
      <c r="G831" t="s">
        <v>31</v>
      </c>
      <c r="H831" t="s">
        <v>28</v>
      </c>
      <c r="I831" s="3" t="s">
        <v>18</v>
      </c>
      <c r="J831" s="3">
        <v>4</v>
      </c>
      <c r="K831" t="s">
        <v>16</v>
      </c>
      <c r="L831" t="s">
        <v>32</v>
      </c>
      <c r="M831" s="3">
        <v>66</v>
      </c>
      <c r="N831" s="3" t="str" cm="1">
        <f t="array" ref="N831">_xlfn.IFS(M831&gt;59, "Pension Age", M831&gt;44, "Elderly (45+)", M831&gt;29, "Middle Age (30+)", M831&gt;22, "Adult (23+)", M831&gt;15, "Teen/Young Adult (16+)")</f>
        <v>Pension Age</v>
      </c>
      <c r="O831" s="3" t="s">
        <v>18</v>
      </c>
    </row>
    <row r="832" spans="1:15" x14ac:dyDescent="0.3">
      <c r="A832" s="4">
        <v>18411</v>
      </c>
      <c r="B832" s="3" t="s">
        <v>39</v>
      </c>
      <c r="C832" s="3" t="s">
        <v>42</v>
      </c>
      <c r="D832" s="11">
        <v>60000</v>
      </c>
      <c r="E832" s="9" t="str" cm="1">
        <f t="array" ref="E832">_xlfn.IFS(D832&gt;149000, "Very High", D832&gt;99000, "High", D832&gt;59999, "Average", D832&gt;19999, "Low", D832&gt;0, "Poverty")</f>
        <v>Average</v>
      </c>
      <c r="F832" s="3">
        <v>2</v>
      </c>
      <c r="G832" t="s">
        <v>27</v>
      </c>
      <c r="H832" t="s">
        <v>21</v>
      </c>
      <c r="I832" s="3" t="s">
        <v>18</v>
      </c>
      <c r="J832" s="3">
        <v>2</v>
      </c>
      <c r="K832" t="s">
        <v>23</v>
      </c>
      <c r="L832" t="s">
        <v>32</v>
      </c>
      <c r="M832" s="3">
        <v>51</v>
      </c>
      <c r="N832" s="3" t="str" cm="1">
        <f t="array" ref="N832">_xlfn.IFS(M832&gt;59, "Pension Age", M832&gt;44, "Elderly (45+)", M832&gt;29, "Middle Age (30+)", M832&gt;22, "Adult (23+)", M832&gt;15, "Teen/Young Adult (16+)")</f>
        <v>Elderly (45+)</v>
      </c>
      <c r="O832" s="3" t="s">
        <v>18</v>
      </c>
    </row>
    <row r="833" spans="1:15" x14ac:dyDescent="0.3">
      <c r="A833" s="4">
        <v>19163</v>
      </c>
      <c r="B833" s="3" t="s">
        <v>39</v>
      </c>
      <c r="C833" s="3" t="s">
        <v>41</v>
      </c>
      <c r="D833" s="11">
        <v>70000</v>
      </c>
      <c r="E833" s="9" t="str" cm="1">
        <f t="array" ref="E833">_xlfn.IFS(D833&gt;149000, "Very High", D833&gt;99000, "High", D833&gt;59999, "Average", D833&gt;19999, "Low", D833&gt;0, "Poverty")</f>
        <v>Average</v>
      </c>
      <c r="F833" s="3">
        <v>4</v>
      </c>
      <c r="G833" t="s">
        <v>13</v>
      </c>
      <c r="H833" t="s">
        <v>21</v>
      </c>
      <c r="I833" s="3" t="s">
        <v>15</v>
      </c>
      <c r="J833" s="3">
        <v>2</v>
      </c>
      <c r="K833" t="s">
        <v>16</v>
      </c>
      <c r="L833" t="s">
        <v>32</v>
      </c>
      <c r="M833" s="3">
        <v>43</v>
      </c>
      <c r="N833" s="3" t="str" cm="1">
        <f t="array" ref="N833">_xlfn.IFS(M833&gt;59, "Pension Age", M833&gt;44, "Elderly (45+)", M833&gt;29, "Middle Age (30+)", M833&gt;22, "Adult (23+)", M833&gt;15, "Teen/Young Adult (16+)")</f>
        <v>Middle Age (30+)</v>
      </c>
      <c r="O833" s="3" t="s">
        <v>15</v>
      </c>
    </row>
    <row r="834" spans="1:15" x14ac:dyDescent="0.3">
      <c r="A834" s="4">
        <v>18572</v>
      </c>
      <c r="B834" s="3" t="s">
        <v>39</v>
      </c>
      <c r="C834" s="3" t="s">
        <v>41</v>
      </c>
      <c r="D834" s="11">
        <v>60000</v>
      </c>
      <c r="E834" s="9" t="str" cm="1">
        <f t="array" ref="E834">_xlfn.IFS(D834&gt;149000, "Very High", D834&gt;99000, "High", D834&gt;59999, "Average", D834&gt;19999, "Low", D834&gt;0, "Poverty")</f>
        <v>Average</v>
      </c>
      <c r="F834" s="3">
        <v>0</v>
      </c>
      <c r="G834" t="s">
        <v>31</v>
      </c>
      <c r="H834" t="s">
        <v>21</v>
      </c>
      <c r="I834" s="3" t="s">
        <v>15</v>
      </c>
      <c r="J834" s="3">
        <v>0</v>
      </c>
      <c r="K834" t="s">
        <v>16</v>
      </c>
      <c r="L834" t="s">
        <v>32</v>
      </c>
      <c r="M834" s="3">
        <v>39</v>
      </c>
      <c r="N834" s="3" t="str" cm="1">
        <f t="array" ref="N834">_xlfn.IFS(M834&gt;59, "Pension Age", M834&gt;44, "Elderly (45+)", M834&gt;29, "Middle Age (30+)", M834&gt;22, "Adult (23+)", M834&gt;15, "Teen/Young Adult (16+)")</f>
        <v>Middle Age (30+)</v>
      </c>
      <c r="O834" s="3" t="s">
        <v>18</v>
      </c>
    </row>
    <row r="835" spans="1:15" x14ac:dyDescent="0.3">
      <c r="A835" s="4">
        <v>27540</v>
      </c>
      <c r="B835" s="3" t="s">
        <v>40</v>
      </c>
      <c r="C835" s="3" t="s">
        <v>41</v>
      </c>
      <c r="D835" s="11">
        <v>70000</v>
      </c>
      <c r="E835" s="9" t="str" cm="1">
        <f t="array" ref="E835">_xlfn.IFS(D835&gt;149000, "Very High", D835&gt;99000, "High", D835&gt;59999, "Average", D835&gt;19999, "Low", D835&gt;0, "Poverty")</f>
        <v>Average</v>
      </c>
      <c r="F835" s="3">
        <v>0</v>
      </c>
      <c r="G835" t="s">
        <v>13</v>
      </c>
      <c r="H835" t="s">
        <v>21</v>
      </c>
      <c r="I835" s="3" t="s">
        <v>18</v>
      </c>
      <c r="J835" s="3">
        <v>1</v>
      </c>
      <c r="K835" t="s">
        <v>16</v>
      </c>
      <c r="L835" t="s">
        <v>32</v>
      </c>
      <c r="M835" s="3">
        <v>37</v>
      </c>
      <c r="N835" s="3" t="str" cm="1">
        <f t="array" ref="N835">_xlfn.IFS(M835&gt;59, "Pension Age", M835&gt;44, "Elderly (45+)", M835&gt;29, "Middle Age (30+)", M835&gt;22, "Adult (23+)", M835&gt;15, "Teen/Young Adult (16+)")</f>
        <v>Middle Age (30+)</v>
      </c>
      <c r="O835" s="3" t="s">
        <v>15</v>
      </c>
    </row>
    <row r="836" spans="1:15" x14ac:dyDescent="0.3">
      <c r="A836" s="4">
        <v>19889</v>
      </c>
      <c r="B836" s="3" t="s">
        <v>40</v>
      </c>
      <c r="C836" s="3" t="s">
        <v>41</v>
      </c>
      <c r="D836" s="11">
        <v>70000</v>
      </c>
      <c r="E836" s="9" t="str" cm="1">
        <f t="array" ref="E836">_xlfn.IFS(D836&gt;149000, "Very High", D836&gt;99000, "High", D836&gt;59999, "Average", D836&gt;19999, "Low", D836&gt;0, "Poverty")</f>
        <v>Average</v>
      </c>
      <c r="F836" s="3">
        <v>2</v>
      </c>
      <c r="G836" t="s">
        <v>29</v>
      </c>
      <c r="H836" t="s">
        <v>14</v>
      </c>
      <c r="I836" s="3" t="s">
        <v>18</v>
      </c>
      <c r="J836" s="3">
        <v>2</v>
      </c>
      <c r="K836" t="s">
        <v>22</v>
      </c>
      <c r="L836" t="s">
        <v>32</v>
      </c>
      <c r="M836" s="3">
        <v>54</v>
      </c>
      <c r="N836" s="3" t="str" cm="1">
        <f t="array" ref="N836">_xlfn.IFS(M836&gt;59, "Pension Age", M836&gt;44, "Elderly (45+)", M836&gt;29, "Middle Age (30+)", M836&gt;22, "Adult (23+)", M836&gt;15, "Teen/Young Adult (16+)")</f>
        <v>Elderly (45+)</v>
      </c>
      <c r="O836" s="3" t="s">
        <v>15</v>
      </c>
    </row>
    <row r="837" spans="1:15" x14ac:dyDescent="0.3">
      <c r="A837" s="4">
        <v>12922</v>
      </c>
      <c r="B837" s="3" t="s">
        <v>40</v>
      </c>
      <c r="C837" s="3" t="s">
        <v>41</v>
      </c>
      <c r="D837" s="11">
        <v>60000</v>
      </c>
      <c r="E837" s="9" t="str" cm="1">
        <f t="array" ref="E837">_xlfn.IFS(D837&gt;149000, "Very High", D837&gt;99000, "High", D837&gt;59999, "Average", D837&gt;19999, "Low", D837&gt;0, "Poverty")</f>
        <v>Average</v>
      </c>
      <c r="F837" s="3">
        <v>3</v>
      </c>
      <c r="G837" t="s">
        <v>13</v>
      </c>
      <c r="H837" t="s">
        <v>14</v>
      </c>
      <c r="I837" s="3" t="s">
        <v>15</v>
      </c>
      <c r="J837" s="3">
        <v>0</v>
      </c>
      <c r="K837" t="s">
        <v>22</v>
      </c>
      <c r="L837" t="s">
        <v>32</v>
      </c>
      <c r="M837" s="3">
        <v>40</v>
      </c>
      <c r="N837" s="3" t="str" cm="1">
        <f t="array" ref="N837">_xlfn.IFS(M837&gt;59, "Pension Age", M837&gt;44, "Elderly (45+)", M837&gt;29, "Middle Age (30+)", M837&gt;22, "Adult (23+)", M837&gt;15, "Teen/Young Adult (16+)")</f>
        <v>Middle Age (30+)</v>
      </c>
      <c r="O837" s="3" t="s">
        <v>15</v>
      </c>
    </row>
    <row r="838" spans="1:15" x14ac:dyDescent="0.3">
      <c r="A838" s="4">
        <v>18891</v>
      </c>
      <c r="B838" s="3" t="s">
        <v>39</v>
      </c>
      <c r="C838" s="3" t="s">
        <v>41</v>
      </c>
      <c r="D838" s="11">
        <v>40000</v>
      </c>
      <c r="E838" s="9" t="str" cm="1">
        <f t="array" ref="E838">_xlfn.IFS(D838&gt;149000, "Very High", D838&gt;99000, "High", D838&gt;59999, "Average", D838&gt;19999, "Low", D838&gt;0, "Poverty")</f>
        <v>Low</v>
      </c>
      <c r="F838" s="3">
        <v>0</v>
      </c>
      <c r="G838" t="s">
        <v>19</v>
      </c>
      <c r="H838" t="s">
        <v>14</v>
      </c>
      <c r="I838" s="3" t="s">
        <v>15</v>
      </c>
      <c r="J838" s="3">
        <v>2</v>
      </c>
      <c r="K838" t="s">
        <v>23</v>
      </c>
      <c r="L838" t="s">
        <v>32</v>
      </c>
      <c r="M838" s="3">
        <v>28</v>
      </c>
      <c r="N838" s="3" t="str" cm="1">
        <f t="array" ref="N838">_xlfn.IFS(M838&gt;59, "Pension Age", M838&gt;44, "Elderly (45+)", M838&gt;29, "Middle Age (30+)", M838&gt;22, "Adult (23+)", M838&gt;15, "Teen/Young Adult (16+)")</f>
        <v>Adult (23+)</v>
      </c>
      <c r="O838" s="3" t="s">
        <v>18</v>
      </c>
    </row>
    <row r="839" spans="1:15" x14ac:dyDescent="0.3">
      <c r="A839" s="4">
        <v>16773</v>
      </c>
      <c r="B839" s="3" t="s">
        <v>39</v>
      </c>
      <c r="C839" s="3" t="s">
        <v>42</v>
      </c>
      <c r="D839" s="11">
        <v>60000</v>
      </c>
      <c r="E839" s="9" t="str" cm="1">
        <f t="array" ref="E839">_xlfn.IFS(D839&gt;149000, "Very High", D839&gt;99000, "High", D839&gt;59999, "Average", D839&gt;19999, "Low", D839&gt;0, "Poverty")</f>
        <v>Average</v>
      </c>
      <c r="F839" s="3">
        <v>1</v>
      </c>
      <c r="G839" t="s">
        <v>31</v>
      </c>
      <c r="H839" t="s">
        <v>14</v>
      </c>
      <c r="I839" s="3" t="s">
        <v>15</v>
      </c>
      <c r="J839" s="3">
        <v>0</v>
      </c>
      <c r="K839" t="s">
        <v>16</v>
      </c>
      <c r="L839" t="s">
        <v>32</v>
      </c>
      <c r="M839" s="3">
        <v>33</v>
      </c>
      <c r="N839" s="3" t="str" cm="1">
        <f t="array" ref="N839">_xlfn.IFS(M839&gt;59, "Pension Age", M839&gt;44, "Elderly (45+)", M839&gt;29, "Middle Age (30+)", M839&gt;22, "Adult (23+)", M839&gt;15, "Teen/Young Adult (16+)")</f>
        <v>Middle Age (30+)</v>
      </c>
      <c r="O839" s="3" t="s">
        <v>18</v>
      </c>
    </row>
    <row r="840" spans="1:15" x14ac:dyDescent="0.3">
      <c r="A840" s="4">
        <v>19143</v>
      </c>
      <c r="B840" s="3" t="s">
        <v>40</v>
      </c>
      <c r="C840" s="3" t="s">
        <v>41</v>
      </c>
      <c r="D840" s="11">
        <v>80000</v>
      </c>
      <c r="E840" s="9" t="str" cm="1">
        <f t="array" ref="E840">_xlfn.IFS(D840&gt;149000, "Very High", D840&gt;99000, "High", D840&gt;59999, "Average", D840&gt;19999, "Low", D840&gt;0, "Poverty")</f>
        <v>Average</v>
      </c>
      <c r="F840" s="3">
        <v>3</v>
      </c>
      <c r="G840" t="s">
        <v>13</v>
      </c>
      <c r="H840" t="s">
        <v>14</v>
      </c>
      <c r="I840" s="3" t="s">
        <v>15</v>
      </c>
      <c r="J840" s="3">
        <v>2</v>
      </c>
      <c r="K840" t="s">
        <v>22</v>
      </c>
      <c r="L840" t="s">
        <v>32</v>
      </c>
      <c r="M840" s="3">
        <v>41</v>
      </c>
      <c r="N840" s="3" t="str" cm="1">
        <f t="array" ref="N840">_xlfn.IFS(M840&gt;59, "Pension Age", M840&gt;44, "Elderly (45+)", M840&gt;29, "Middle Age (30+)", M840&gt;22, "Adult (23+)", M840&gt;15, "Teen/Young Adult (16+)")</f>
        <v>Middle Age (30+)</v>
      </c>
      <c r="O840" s="3" t="s">
        <v>15</v>
      </c>
    </row>
    <row r="841" spans="1:15" x14ac:dyDescent="0.3">
      <c r="A841" s="4">
        <v>23882</v>
      </c>
      <c r="B841" s="3" t="s">
        <v>40</v>
      </c>
      <c r="C841" s="3" t="s">
        <v>41</v>
      </c>
      <c r="D841" s="11">
        <v>80000</v>
      </c>
      <c r="E841" s="9" t="str" cm="1">
        <f t="array" ref="E841">_xlfn.IFS(D841&gt;149000, "Very High", D841&gt;99000, "High", D841&gt;59999, "Average", D841&gt;19999, "Low", D841&gt;0, "Poverty")</f>
        <v>Average</v>
      </c>
      <c r="F841" s="3">
        <v>3</v>
      </c>
      <c r="G841" t="s">
        <v>31</v>
      </c>
      <c r="H841" t="s">
        <v>21</v>
      </c>
      <c r="I841" s="3" t="s">
        <v>15</v>
      </c>
      <c r="J841" s="3">
        <v>0</v>
      </c>
      <c r="K841" t="s">
        <v>16</v>
      </c>
      <c r="L841" t="s">
        <v>32</v>
      </c>
      <c r="M841" s="3">
        <v>37</v>
      </c>
      <c r="N841" s="3" t="str" cm="1">
        <f t="array" ref="N841">_xlfn.IFS(M841&gt;59, "Pension Age", M841&gt;44, "Elderly (45+)", M841&gt;29, "Middle Age (30+)", M841&gt;22, "Adult (23+)", M841&gt;15, "Teen/Young Adult (16+)")</f>
        <v>Middle Age (30+)</v>
      </c>
      <c r="O841" s="3" t="s">
        <v>15</v>
      </c>
    </row>
    <row r="842" spans="1:15" x14ac:dyDescent="0.3">
      <c r="A842" s="4">
        <v>11233</v>
      </c>
      <c r="B842" s="3" t="s">
        <v>39</v>
      </c>
      <c r="C842" s="3" t="s">
        <v>42</v>
      </c>
      <c r="D842" s="11">
        <v>70000</v>
      </c>
      <c r="E842" s="9" t="str" cm="1">
        <f t="array" ref="E842">_xlfn.IFS(D842&gt;149000, "Very High", D842&gt;99000, "High", D842&gt;59999, "Average", D842&gt;19999, "Low", D842&gt;0, "Poverty")</f>
        <v>Average</v>
      </c>
      <c r="F842" s="3">
        <v>4</v>
      </c>
      <c r="G842" t="s">
        <v>19</v>
      </c>
      <c r="H842" t="s">
        <v>21</v>
      </c>
      <c r="I842" s="3" t="s">
        <v>15</v>
      </c>
      <c r="J842" s="3">
        <v>2</v>
      </c>
      <c r="K842" t="s">
        <v>30</v>
      </c>
      <c r="L842" t="s">
        <v>32</v>
      </c>
      <c r="M842" s="3">
        <v>53</v>
      </c>
      <c r="N842" s="3" t="str" cm="1">
        <f t="array" ref="N842">_xlfn.IFS(M842&gt;59, "Pension Age", M842&gt;44, "Elderly (45+)", M842&gt;29, "Middle Age (30+)", M842&gt;22, "Adult (23+)", M842&gt;15, "Teen/Young Adult (16+)")</f>
        <v>Elderly (45+)</v>
      </c>
      <c r="O842" s="3" t="s">
        <v>18</v>
      </c>
    </row>
    <row r="843" spans="1:15" x14ac:dyDescent="0.3">
      <c r="A843" s="4">
        <v>12056</v>
      </c>
      <c r="B843" s="3" t="s">
        <v>39</v>
      </c>
      <c r="C843" s="3" t="s">
        <v>42</v>
      </c>
      <c r="D843" s="11">
        <v>120000</v>
      </c>
      <c r="E843" s="9" t="str" cm="1">
        <f t="array" ref="E843">_xlfn.IFS(D843&gt;149000, "Very High", D843&gt;99000, "High", D843&gt;59999, "Average", D843&gt;19999, "Low", D843&gt;0, "Poverty")</f>
        <v>High</v>
      </c>
      <c r="F843" s="3">
        <v>2</v>
      </c>
      <c r="G843" t="s">
        <v>31</v>
      </c>
      <c r="H843" t="s">
        <v>28</v>
      </c>
      <c r="I843" s="3" t="s">
        <v>15</v>
      </c>
      <c r="J843" s="3">
        <v>3</v>
      </c>
      <c r="K843" t="s">
        <v>23</v>
      </c>
      <c r="L843" t="s">
        <v>32</v>
      </c>
      <c r="M843" s="3">
        <v>64</v>
      </c>
      <c r="N843" s="3" t="str" cm="1">
        <f t="array" ref="N843">_xlfn.IFS(M843&gt;59, "Pension Age", M843&gt;44, "Elderly (45+)", M843&gt;29, "Middle Age (30+)", M843&gt;22, "Adult (23+)", M843&gt;15, "Teen/Young Adult (16+)")</f>
        <v>Pension Age</v>
      </c>
      <c r="O843" s="3" t="s">
        <v>18</v>
      </c>
    </row>
    <row r="844" spans="1:15" x14ac:dyDescent="0.3">
      <c r="A844" s="4">
        <v>15555</v>
      </c>
      <c r="B844" s="3" t="s">
        <v>39</v>
      </c>
      <c r="C844" s="3" t="s">
        <v>41</v>
      </c>
      <c r="D844" s="11">
        <v>60000</v>
      </c>
      <c r="E844" s="9" t="str" cm="1">
        <f t="array" ref="E844">_xlfn.IFS(D844&gt;149000, "Very High", D844&gt;99000, "High", D844&gt;59999, "Average", D844&gt;19999, "Low", D844&gt;0, "Poverty")</f>
        <v>Average</v>
      </c>
      <c r="F844" s="3">
        <v>1</v>
      </c>
      <c r="G844" t="s">
        <v>19</v>
      </c>
      <c r="H844" t="s">
        <v>14</v>
      </c>
      <c r="I844" s="3" t="s">
        <v>15</v>
      </c>
      <c r="J844" s="3">
        <v>1</v>
      </c>
      <c r="K844" t="s">
        <v>22</v>
      </c>
      <c r="L844" t="s">
        <v>32</v>
      </c>
      <c r="M844" s="3">
        <v>45</v>
      </c>
      <c r="N844" s="3" t="str" cm="1">
        <f t="array" ref="N844">_xlfn.IFS(M844&gt;59, "Pension Age", M844&gt;44, "Elderly (45+)", M844&gt;29, "Middle Age (30+)", M844&gt;22, "Adult (23+)", M844&gt;15, "Teen/Young Adult (16+)")</f>
        <v>Elderly (45+)</v>
      </c>
      <c r="O844" s="3" t="s">
        <v>15</v>
      </c>
    </row>
    <row r="845" spans="1:15" x14ac:dyDescent="0.3">
      <c r="A845" s="4">
        <v>18423</v>
      </c>
      <c r="B845" s="3" t="s">
        <v>40</v>
      </c>
      <c r="C845" s="3" t="s">
        <v>42</v>
      </c>
      <c r="D845" s="11">
        <v>80000</v>
      </c>
      <c r="E845" s="9" t="str" cm="1">
        <f t="array" ref="E845">_xlfn.IFS(D845&gt;149000, "Very High", D845&gt;99000, "High", D845&gt;59999, "Average", D845&gt;19999, "Low", D845&gt;0, "Poverty")</f>
        <v>Average</v>
      </c>
      <c r="F845" s="3">
        <v>2</v>
      </c>
      <c r="G845" t="s">
        <v>29</v>
      </c>
      <c r="H845" t="s">
        <v>14</v>
      </c>
      <c r="I845" s="3" t="s">
        <v>18</v>
      </c>
      <c r="J845" s="3">
        <v>2</v>
      </c>
      <c r="K845" t="s">
        <v>26</v>
      </c>
      <c r="L845" t="s">
        <v>32</v>
      </c>
      <c r="M845" s="3">
        <v>52</v>
      </c>
      <c r="N845" s="3" t="str" cm="1">
        <f t="array" ref="N845">_xlfn.IFS(M845&gt;59, "Pension Age", M845&gt;44, "Elderly (45+)", M845&gt;29, "Middle Age (30+)", M845&gt;22, "Adult (23+)", M845&gt;15, "Teen/Young Adult (16+)")</f>
        <v>Elderly (45+)</v>
      </c>
      <c r="O845" s="3" t="s">
        <v>18</v>
      </c>
    </row>
    <row r="846" spans="1:15" x14ac:dyDescent="0.3">
      <c r="A846" s="4">
        <v>22743</v>
      </c>
      <c r="B846" s="3" t="s">
        <v>39</v>
      </c>
      <c r="C846" s="3" t="s">
        <v>41</v>
      </c>
      <c r="D846" s="11">
        <v>40000</v>
      </c>
      <c r="E846" s="9" t="str" cm="1">
        <f t="array" ref="E846">_xlfn.IFS(D846&gt;149000, "Very High", D846&gt;99000, "High", D846&gt;59999, "Average", D846&gt;19999, "Low", D846&gt;0, "Poverty")</f>
        <v>Low</v>
      </c>
      <c r="F846" s="3">
        <v>5</v>
      </c>
      <c r="G846" t="s">
        <v>27</v>
      </c>
      <c r="H846" t="s">
        <v>21</v>
      </c>
      <c r="I846" s="3" t="s">
        <v>15</v>
      </c>
      <c r="J846" s="3">
        <v>2</v>
      </c>
      <c r="K846" t="s">
        <v>30</v>
      </c>
      <c r="L846" t="s">
        <v>32</v>
      </c>
      <c r="M846" s="3">
        <v>60</v>
      </c>
      <c r="N846" s="3" t="str" cm="1">
        <f t="array" ref="N846">_xlfn.IFS(M846&gt;59, "Pension Age", M846&gt;44, "Elderly (45+)", M846&gt;29, "Middle Age (30+)", M846&gt;22, "Adult (23+)", M846&gt;15, "Teen/Young Adult (16+)")</f>
        <v>Pension Age</v>
      </c>
      <c r="O846" s="3" t="s">
        <v>18</v>
      </c>
    </row>
    <row r="847" spans="1:15" x14ac:dyDescent="0.3">
      <c r="A847" s="4">
        <v>25343</v>
      </c>
      <c r="B847" s="3" t="s">
        <v>40</v>
      </c>
      <c r="C847" s="3" t="s">
        <v>41</v>
      </c>
      <c r="D847" s="11">
        <v>20000</v>
      </c>
      <c r="E847" s="9" t="str" cm="1">
        <f t="array" ref="E847">_xlfn.IFS(D847&gt;149000, "Very High", D847&gt;99000, "High", D847&gt;59999, "Average", D847&gt;19999, "Low", D847&gt;0, "Poverty")</f>
        <v>Low</v>
      </c>
      <c r="F847" s="3">
        <v>3</v>
      </c>
      <c r="G847" t="s">
        <v>29</v>
      </c>
      <c r="H847" t="s">
        <v>20</v>
      </c>
      <c r="I847" s="3" t="s">
        <v>15</v>
      </c>
      <c r="J847" s="3">
        <v>2</v>
      </c>
      <c r="K847" t="s">
        <v>26</v>
      </c>
      <c r="L847" t="s">
        <v>32</v>
      </c>
      <c r="M847" s="3">
        <v>50</v>
      </c>
      <c r="N847" s="3" t="str" cm="1">
        <f t="array" ref="N847">_xlfn.IFS(M847&gt;59, "Pension Age", M847&gt;44, "Elderly (45+)", M847&gt;29, "Middle Age (30+)", M847&gt;22, "Adult (23+)", M847&gt;15, "Teen/Young Adult (16+)")</f>
        <v>Elderly (45+)</v>
      </c>
      <c r="O847" s="3" t="s">
        <v>18</v>
      </c>
    </row>
    <row r="848" spans="1:15" x14ac:dyDescent="0.3">
      <c r="A848" s="4">
        <v>13390</v>
      </c>
      <c r="B848" s="3" t="s">
        <v>39</v>
      </c>
      <c r="C848" s="3" t="s">
        <v>41</v>
      </c>
      <c r="D848" s="11">
        <v>70000</v>
      </c>
      <c r="E848" s="9" t="str" cm="1">
        <f t="array" ref="E848">_xlfn.IFS(D848&gt;149000, "Very High", D848&gt;99000, "High", D848&gt;59999, "Average", D848&gt;19999, "Low", D848&gt;0, "Poverty")</f>
        <v>Average</v>
      </c>
      <c r="F848" s="3">
        <v>4</v>
      </c>
      <c r="G848" t="s">
        <v>19</v>
      </c>
      <c r="H848" t="s">
        <v>21</v>
      </c>
      <c r="I848" s="3" t="s">
        <v>18</v>
      </c>
      <c r="J848" s="3">
        <v>1</v>
      </c>
      <c r="K848" t="s">
        <v>26</v>
      </c>
      <c r="L848" t="s">
        <v>32</v>
      </c>
      <c r="M848" s="3">
        <v>56</v>
      </c>
      <c r="N848" s="3" t="str" cm="1">
        <f t="array" ref="N848">_xlfn.IFS(M848&gt;59, "Pension Age", M848&gt;44, "Elderly (45+)", M848&gt;29, "Middle Age (30+)", M848&gt;22, "Adult (23+)", M848&gt;15, "Teen/Young Adult (16+)")</f>
        <v>Elderly (45+)</v>
      </c>
      <c r="O848" s="3" t="s">
        <v>18</v>
      </c>
    </row>
    <row r="849" spans="1:15" x14ac:dyDescent="0.3">
      <c r="A849" s="4">
        <v>17482</v>
      </c>
      <c r="B849" s="3" t="s">
        <v>40</v>
      </c>
      <c r="C849" s="3" t="s">
        <v>41</v>
      </c>
      <c r="D849" s="11">
        <v>40000</v>
      </c>
      <c r="E849" s="9" t="str" cm="1">
        <f t="array" ref="E849">_xlfn.IFS(D849&gt;149000, "Very High", D849&gt;99000, "High", D849&gt;59999, "Average", D849&gt;19999, "Low", D849&gt;0, "Poverty")</f>
        <v>Low</v>
      </c>
      <c r="F849" s="3">
        <v>0</v>
      </c>
      <c r="G849" t="s">
        <v>29</v>
      </c>
      <c r="H849" t="s">
        <v>20</v>
      </c>
      <c r="I849" s="3" t="s">
        <v>15</v>
      </c>
      <c r="J849" s="3">
        <v>2</v>
      </c>
      <c r="K849" t="s">
        <v>23</v>
      </c>
      <c r="L849" t="s">
        <v>32</v>
      </c>
      <c r="M849" s="3">
        <v>29</v>
      </c>
      <c r="N849" s="3" t="str" cm="1">
        <f t="array" ref="N849">_xlfn.IFS(M849&gt;59, "Pension Age", M849&gt;44, "Elderly (45+)", M849&gt;29, "Middle Age (30+)", M849&gt;22, "Adult (23+)", M849&gt;15, "Teen/Young Adult (16+)")</f>
        <v>Adult (23+)</v>
      </c>
      <c r="O849" s="3" t="s">
        <v>18</v>
      </c>
    </row>
    <row r="850" spans="1:15" x14ac:dyDescent="0.3">
      <c r="A850" s="4">
        <v>13176</v>
      </c>
      <c r="B850" s="3" t="s">
        <v>40</v>
      </c>
      <c r="C850" s="3" t="s">
        <v>42</v>
      </c>
      <c r="D850" s="11">
        <v>130000</v>
      </c>
      <c r="E850" s="9" t="str" cm="1">
        <f t="array" ref="E850">_xlfn.IFS(D850&gt;149000, "Very High", D850&gt;99000, "High", D850&gt;59999, "Average", D850&gt;19999, "Low", D850&gt;0, "Poverty")</f>
        <v>High</v>
      </c>
      <c r="F850" s="3">
        <v>0</v>
      </c>
      <c r="G850" t="s">
        <v>31</v>
      </c>
      <c r="H850" t="s">
        <v>28</v>
      </c>
      <c r="I850" s="3" t="s">
        <v>18</v>
      </c>
      <c r="J850" s="3">
        <v>2</v>
      </c>
      <c r="K850" t="s">
        <v>16</v>
      </c>
      <c r="L850" t="s">
        <v>32</v>
      </c>
      <c r="M850" s="3">
        <v>38</v>
      </c>
      <c r="N850" s="3" t="str" cm="1">
        <f t="array" ref="N850">_xlfn.IFS(M850&gt;59, "Pension Age", M850&gt;44, "Elderly (45+)", M850&gt;29, "Middle Age (30+)", M850&gt;22, "Adult (23+)", M850&gt;15, "Teen/Young Adult (16+)")</f>
        <v>Middle Age (30+)</v>
      </c>
      <c r="O850" s="3" t="s">
        <v>15</v>
      </c>
    </row>
    <row r="851" spans="1:15" x14ac:dyDescent="0.3">
      <c r="A851" s="4">
        <v>20504</v>
      </c>
      <c r="B851" s="3" t="s">
        <v>39</v>
      </c>
      <c r="C851" s="3" t="s">
        <v>41</v>
      </c>
      <c r="D851" s="11">
        <v>40000</v>
      </c>
      <c r="E851" s="9" t="str" cm="1">
        <f t="array" ref="E851">_xlfn.IFS(D851&gt;149000, "Very High", D851&gt;99000, "High", D851&gt;59999, "Average", D851&gt;19999, "Low", D851&gt;0, "Poverty")</f>
        <v>Low</v>
      </c>
      <c r="F851" s="3">
        <v>5</v>
      </c>
      <c r="G851" t="s">
        <v>27</v>
      </c>
      <c r="H851" t="s">
        <v>21</v>
      </c>
      <c r="I851" s="3" t="s">
        <v>18</v>
      </c>
      <c r="J851" s="3">
        <v>2</v>
      </c>
      <c r="K851" t="s">
        <v>22</v>
      </c>
      <c r="L851" t="s">
        <v>32</v>
      </c>
      <c r="M851" s="3">
        <v>60</v>
      </c>
      <c r="N851" s="3" t="str" cm="1">
        <f t="array" ref="N851">_xlfn.IFS(M851&gt;59, "Pension Age", M851&gt;44, "Elderly (45+)", M851&gt;29, "Middle Age (30+)", M851&gt;22, "Adult (23+)", M851&gt;15, "Teen/Young Adult (16+)")</f>
        <v>Pension Age</v>
      </c>
      <c r="O851" s="3" t="s">
        <v>18</v>
      </c>
    </row>
    <row r="852" spans="1:15" x14ac:dyDescent="0.3">
      <c r="A852" s="4">
        <v>12205</v>
      </c>
      <c r="B852" s="3" t="s">
        <v>40</v>
      </c>
      <c r="C852" s="3" t="s">
        <v>41</v>
      </c>
      <c r="D852" s="11">
        <v>130000</v>
      </c>
      <c r="E852" s="9" t="str" cm="1">
        <f t="array" ref="E852">_xlfn.IFS(D852&gt;149000, "Very High", D852&gt;99000, "High", D852&gt;59999, "Average", D852&gt;19999, "Low", D852&gt;0, "Poverty")</f>
        <v>High</v>
      </c>
      <c r="F852" s="3">
        <v>2</v>
      </c>
      <c r="G852" t="s">
        <v>13</v>
      </c>
      <c r="H852" t="s">
        <v>28</v>
      </c>
      <c r="I852" s="3" t="s">
        <v>18</v>
      </c>
      <c r="J852" s="3">
        <v>4</v>
      </c>
      <c r="K852" t="s">
        <v>16</v>
      </c>
      <c r="L852" t="s">
        <v>32</v>
      </c>
      <c r="M852" s="3">
        <v>67</v>
      </c>
      <c r="N852" s="3" t="str" cm="1">
        <f t="array" ref="N852">_xlfn.IFS(M852&gt;59, "Pension Age", M852&gt;44, "Elderly (45+)", M852&gt;29, "Middle Age (30+)", M852&gt;22, "Adult (23+)", M852&gt;15, "Teen/Young Adult (16+)")</f>
        <v>Pension Age</v>
      </c>
      <c r="O852" s="3" t="s">
        <v>18</v>
      </c>
    </row>
    <row r="853" spans="1:15" x14ac:dyDescent="0.3">
      <c r="A853" s="4">
        <v>16751</v>
      </c>
      <c r="B853" s="3" t="s">
        <v>39</v>
      </c>
      <c r="C853" s="3" t="s">
        <v>42</v>
      </c>
      <c r="D853" s="11">
        <v>60000</v>
      </c>
      <c r="E853" s="9" t="str" cm="1">
        <f t="array" ref="E853">_xlfn.IFS(D853&gt;149000, "Very High", D853&gt;99000, "High", D853&gt;59999, "Average", D853&gt;19999, "Low", D853&gt;0, "Poverty")</f>
        <v>Average</v>
      </c>
      <c r="F853" s="3">
        <v>0</v>
      </c>
      <c r="G853" t="s">
        <v>19</v>
      </c>
      <c r="H853" t="s">
        <v>14</v>
      </c>
      <c r="I853" s="3" t="s">
        <v>15</v>
      </c>
      <c r="J853" s="3">
        <v>1</v>
      </c>
      <c r="K853" t="s">
        <v>23</v>
      </c>
      <c r="L853" t="s">
        <v>32</v>
      </c>
      <c r="M853" s="3">
        <v>32</v>
      </c>
      <c r="N853" s="3" t="str" cm="1">
        <f t="array" ref="N853">_xlfn.IFS(M853&gt;59, "Pension Age", M853&gt;44, "Elderly (45+)", M853&gt;29, "Middle Age (30+)", M853&gt;22, "Adult (23+)", M853&gt;15, "Teen/Young Adult (16+)")</f>
        <v>Middle Age (30+)</v>
      </c>
      <c r="O853" s="3" t="s">
        <v>15</v>
      </c>
    </row>
    <row r="854" spans="1:15" x14ac:dyDescent="0.3">
      <c r="A854" s="4">
        <v>21613</v>
      </c>
      <c r="B854" s="3" t="s">
        <v>40</v>
      </c>
      <c r="C854" s="3" t="s">
        <v>42</v>
      </c>
      <c r="D854" s="11">
        <v>50000</v>
      </c>
      <c r="E854" s="9" t="str" cm="1">
        <f t="array" ref="E854">_xlfn.IFS(D854&gt;149000, "Very High", D854&gt;99000, "High", D854&gt;59999, "Average", D854&gt;19999, "Low", D854&gt;0, "Poverty")</f>
        <v>Low</v>
      </c>
      <c r="F854" s="3">
        <v>2</v>
      </c>
      <c r="G854" t="s">
        <v>13</v>
      </c>
      <c r="H854" t="s">
        <v>14</v>
      </c>
      <c r="I854" s="3" t="s">
        <v>18</v>
      </c>
      <c r="J854" s="3">
        <v>1</v>
      </c>
      <c r="K854" t="s">
        <v>16</v>
      </c>
      <c r="L854" t="s">
        <v>32</v>
      </c>
      <c r="M854" s="3">
        <v>39</v>
      </c>
      <c r="N854" s="3" t="str" cm="1">
        <f t="array" ref="N854">_xlfn.IFS(M854&gt;59, "Pension Age", M854&gt;44, "Elderly (45+)", M854&gt;29, "Middle Age (30+)", M854&gt;22, "Adult (23+)", M854&gt;15, "Teen/Young Adult (16+)")</f>
        <v>Middle Age (30+)</v>
      </c>
      <c r="O854" s="3" t="s">
        <v>15</v>
      </c>
    </row>
    <row r="855" spans="1:15" x14ac:dyDescent="0.3">
      <c r="A855" s="4">
        <v>24801</v>
      </c>
      <c r="B855" s="3" t="s">
        <v>40</v>
      </c>
      <c r="C855" s="3" t="s">
        <v>42</v>
      </c>
      <c r="D855" s="11">
        <v>60000</v>
      </c>
      <c r="E855" s="9" t="str" cm="1">
        <f t="array" ref="E855">_xlfn.IFS(D855&gt;149000, "Very High", D855&gt;99000, "High", D855&gt;59999, "Average", D855&gt;19999, "Low", D855&gt;0, "Poverty")</f>
        <v>Average</v>
      </c>
      <c r="F855" s="3">
        <v>1</v>
      </c>
      <c r="G855" t="s">
        <v>31</v>
      </c>
      <c r="H855" t="s">
        <v>21</v>
      </c>
      <c r="I855" s="3" t="s">
        <v>15</v>
      </c>
      <c r="J855" s="3">
        <v>0</v>
      </c>
      <c r="K855" t="s">
        <v>22</v>
      </c>
      <c r="L855" t="s">
        <v>32</v>
      </c>
      <c r="M855" s="3">
        <v>35</v>
      </c>
      <c r="N855" s="3" t="str" cm="1">
        <f t="array" ref="N855">_xlfn.IFS(M855&gt;59, "Pension Age", M855&gt;44, "Elderly (45+)", M855&gt;29, "Middle Age (30+)", M855&gt;22, "Adult (23+)", M855&gt;15, "Teen/Young Adult (16+)")</f>
        <v>Middle Age (30+)</v>
      </c>
      <c r="O855" s="3" t="s">
        <v>15</v>
      </c>
    </row>
    <row r="856" spans="1:15" x14ac:dyDescent="0.3">
      <c r="A856" s="4">
        <v>17519</v>
      </c>
      <c r="B856" s="3" t="s">
        <v>39</v>
      </c>
      <c r="C856" s="3" t="s">
        <v>41</v>
      </c>
      <c r="D856" s="11">
        <v>60000</v>
      </c>
      <c r="E856" s="9" t="str" cm="1">
        <f t="array" ref="E856">_xlfn.IFS(D856&gt;149000, "Very High", D856&gt;99000, "High", D856&gt;59999, "Average", D856&gt;19999, "Low", D856&gt;0, "Poverty")</f>
        <v>Average</v>
      </c>
      <c r="F856" s="3">
        <v>0</v>
      </c>
      <c r="G856" t="s">
        <v>19</v>
      </c>
      <c r="H856" t="s">
        <v>21</v>
      </c>
      <c r="I856" s="3" t="s">
        <v>15</v>
      </c>
      <c r="J856" s="3">
        <v>2</v>
      </c>
      <c r="K856" t="s">
        <v>23</v>
      </c>
      <c r="L856" t="s">
        <v>32</v>
      </c>
      <c r="M856" s="3">
        <v>32</v>
      </c>
      <c r="N856" s="3" t="str" cm="1">
        <f t="array" ref="N856">_xlfn.IFS(M856&gt;59, "Pension Age", M856&gt;44, "Elderly (45+)", M856&gt;29, "Middle Age (30+)", M856&gt;22, "Adult (23+)", M856&gt;15, "Teen/Young Adult (16+)")</f>
        <v>Middle Age (30+)</v>
      </c>
      <c r="O856" s="3" t="s">
        <v>18</v>
      </c>
    </row>
    <row r="857" spans="1:15" x14ac:dyDescent="0.3">
      <c r="A857" s="4">
        <v>18347</v>
      </c>
      <c r="B857" s="3" t="s">
        <v>40</v>
      </c>
      <c r="C857" s="3" t="s">
        <v>41</v>
      </c>
      <c r="D857" s="11">
        <v>30000</v>
      </c>
      <c r="E857" s="9" t="str" cm="1">
        <f t="array" ref="E857">_xlfn.IFS(D857&gt;149000, "Very High", D857&gt;99000, "High", D857&gt;59999, "Average", D857&gt;19999, "Low", D857&gt;0, "Poverty")</f>
        <v>Low</v>
      </c>
      <c r="F857" s="3">
        <v>0</v>
      </c>
      <c r="G857" t="s">
        <v>19</v>
      </c>
      <c r="H857" t="s">
        <v>14</v>
      </c>
      <c r="I857" s="3" t="s">
        <v>18</v>
      </c>
      <c r="J857" s="3">
        <v>1</v>
      </c>
      <c r="K857" t="s">
        <v>26</v>
      </c>
      <c r="L857" t="s">
        <v>32</v>
      </c>
      <c r="M857" s="3">
        <v>31</v>
      </c>
      <c r="N857" s="3" t="str" cm="1">
        <f t="array" ref="N857">_xlfn.IFS(M857&gt;59, "Pension Age", M857&gt;44, "Elderly (45+)", M857&gt;29, "Middle Age (30+)", M857&gt;22, "Adult (23+)", M857&gt;15, "Teen/Young Adult (16+)")</f>
        <v>Middle Age (30+)</v>
      </c>
      <c r="O857" s="3" t="s">
        <v>18</v>
      </c>
    </row>
    <row r="858" spans="1:15" x14ac:dyDescent="0.3">
      <c r="A858" s="4">
        <v>29052</v>
      </c>
      <c r="B858" s="3" t="s">
        <v>40</v>
      </c>
      <c r="C858" s="3" t="s">
        <v>42</v>
      </c>
      <c r="D858" s="11">
        <v>40000</v>
      </c>
      <c r="E858" s="9" t="str" cm="1">
        <f t="array" ref="E858">_xlfn.IFS(D858&gt;149000, "Very High", D858&gt;99000, "High", D858&gt;59999, "Average", D858&gt;19999, "Low", D858&gt;0, "Poverty")</f>
        <v>Low</v>
      </c>
      <c r="F858" s="3">
        <v>0</v>
      </c>
      <c r="G858" t="s">
        <v>19</v>
      </c>
      <c r="H858" t="s">
        <v>14</v>
      </c>
      <c r="I858" s="3" t="s">
        <v>15</v>
      </c>
      <c r="J858" s="3">
        <v>1</v>
      </c>
      <c r="K858" t="s">
        <v>23</v>
      </c>
      <c r="L858" t="s">
        <v>32</v>
      </c>
      <c r="M858" s="3">
        <v>27</v>
      </c>
      <c r="N858" s="3" t="str" cm="1">
        <f t="array" ref="N858">_xlfn.IFS(M858&gt;59, "Pension Age", M858&gt;44, "Elderly (45+)", M858&gt;29, "Middle Age (30+)", M858&gt;22, "Adult (23+)", M858&gt;15, "Teen/Young Adult (16+)")</f>
        <v>Adult (23+)</v>
      </c>
      <c r="O858" s="3" t="s">
        <v>18</v>
      </c>
    </row>
    <row r="859" spans="1:15" x14ac:dyDescent="0.3">
      <c r="A859" s="4">
        <v>11745</v>
      </c>
      <c r="B859" s="3" t="s">
        <v>39</v>
      </c>
      <c r="C859" s="3" t="s">
        <v>41</v>
      </c>
      <c r="D859" s="11">
        <v>60000</v>
      </c>
      <c r="E859" s="9" t="str" cm="1">
        <f t="array" ref="E859">_xlfn.IFS(D859&gt;149000, "Very High", D859&gt;99000, "High", D859&gt;59999, "Average", D859&gt;19999, "Low", D859&gt;0, "Poverty")</f>
        <v>Average</v>
      </c>
      <c r="F859" s="3">
        <v>1</v>
      </c>
      <c r="G859" t="s">
        <v>13</v>
      </c>
      <c r="H859" t="s">
        <v>21</v>
      </c>
      <c r="I859" s="3" t="s">
        <v>15</v>
      </c>
      <c r="J859" s="3">
        <v>1</v>
      </c>
      <c r="K859" t="s">
        <v>16</v>
      </c>
      <c r="L859" t="s">
        <v>32</v>
      </c>
      <c r="M859" s="3">
        <v>47</v>
      </c>
      <c r="N859" s="3" t="str" cm="1">
        <f t="array" ref="N859">_xlfn.IFS(M859&gt;59, "Pension Age", M859&gt;44, "Elderly (45+)", M859&gt;29, "Middle Age (30+)", M859&gt;22, "Adult (23+)", M859&gt;15, "Teen/Young Adult (16+)")</f>
        <v>Elderly (45+)</v>
      </c>
      <c r="O859" s="3" t="s">
        <v>15</v>
      </c>
    </row>
    <row r="860" spans="1:15" x14ac:dyDescent="0.3">
      <c r="A860" s="4">
        <v>19147</v>
      </c>
      <c r="B860" s="3" t="s">
        <v>39</v>
      </c>
      <c r="C860" s="3" t="s">
        <v>42</v>
      </c>
      <c r="D860" s="11">
        <v>40000</v>
      </c>
      <c r="E860" s="9" t="str" cm="1">
        <f t="array" ref="E860">_xlfn.IFS(D860&gt;149000, "Very High", D860&gt;99000, "High", D860&gt;59999, "Average", D860&gt;19999, "Low", D860&gt;0, "Poverty")</f>
        <v>Low</v>
      </c>
      <c r="F860" s="3">
        <v>0</v>
      </c>
      <c r="G860" t="s">
        <v>13</v>
      </c>
      <c r="H860" t="s">
        <v>21</v>
      </c>
      <c r="I860" s="3" t="s">
        <v>18</v>
      </c>
      <c r="J860" s="3">
        <v>1</v>
      </c>
      <c r="K860" t="s">
        <v>16</v>
      </c>
      <c r="L860" t="s">
        <v>32</v>
      </c>
      <c r="M860" s="3">
        <v>42</v>
      </c>
      <c r="N860" s="3" t="str" cm="1">
        <f t="array" ref="N860">_xlfn.IFS(M860&gt;59, "Pension Age", M860&gt;44, "Elderly (45+)", M860&gt;29, "Middle Age (30+)", M860&gt;22, "Adult (23+)", M860&gt;15, "Teen/Young Adult (16+)")</f>
        <v>Middle Age (30+)</v>
      </c>
      <c r="O860" s="3" t="s">
        <v>18</v>
      </c>
    </row>
    <row r="861" spans="1:15" x14ac:dyDescent="0.3">
      <c r="A861" s="4">
        <v>19217</v>
      </c>
      <c r="B861" s="3" t="s">
        <v>39</v>
      </c>
      <c r="C861" s="3" t="s">
        <v>42</v>
      </c>
      <c r="D861" s="11">
        <v>30000</v>
      </c>
      <c r="E861" s="9" t="str" cm="1">
        <f t="array" ref="E861">_xlfn.IFS(D861&gt;149000, "Very High", D861&gt;99000, "High", D861&gt;59999, "Average", D861&gt;19999, "Low", D861&gt;0, "Poverty")</f>
        <v>Low</v>
      </c>
      <c r="F861" s="3">
        <v>2</v>
      </c>
      <c r="G861" t="s">
        <v>27</v>
      </c>
      <c r="H861" t="s">
        <v>14</v>
      </c>
      <c r="I861" s="3" t="s">
        <v>15</v>
      </c>
      <c r="J861" s="3">
        <v>2</v>
      </c>
      <c r="K861" t="s">
        <v>26</v>
      </c>
      <c r="L861" t="s">
        <v>32</v>
      </c>
      <c r="M861" s="3">
        <v>49</v>
      </c>
      <c r="N861" s="3" t="str" cm="1">
        <f t="array" ref="N861">_xlfn.IFS(M861&gt;59, "Pension Age", M861&gt;44, "Elderly (45+)", M861&gt;29, "Middle Age (30+)", M861&gt;22, "Adult (23+)", M861&gt;15, "Teen/Young Adult (16+)")</f>
        <v>Elderly (45+)</v>
      </c>
      <c r="O861" s="3" t="s">
        <v>18</v>
      </c>
    </row>
    <row r="862" spans="1:15" x14ac:dyDescent="0.3">
      <c r="A862" s="4">
        <v>15839</v>
      </c>
      <c r="B862" s="3" t="s">
        <v>40</v>
      </c>
      <c r="C862" s="3" t="s">
        <v>42</v>
      </c>
      <c r="D862" s="11">
        <v>30000</v>
      </c>
      <c r="E862" s="9" t="str" cm="1">
        <f t="array" ref="E862">_xlfn.IFS(D862&gt;149000, "Very High", D862&gt;99000, "High", D862&gt;59999, "Average", D862&gt;19999, "Low", D862&gt;0, "Poverty")</f>
        <v>Low</v>
      </c>
      <c r="F862" s="3">
        <v>0</v>
      </c>
      <c r="G862" t="s">
        <v>19</v>
      </c>
      <c r="H862" t="s">
        <v>14</v>
      </c>
      <c r="I862" s="3" t="s">
        <v>15</v>
      </c>
      <c r="J862" s="3">
        <v>1</v>
      </c>
      <c r="K862" t="s">
        <v>23</v>
      </c>
      <c r="L862" t="s">
        <v>32</v>
      </c>
      <c r="M862" s="3">
        <v>32</v>
      </c>
      <c r="N862" s="3" t="str" cm="1">
        <f t="array" ref="N862">_xlfn.IFS(M862&gt;59, "Pension Age", M862&gt;44, "Elderly (45+)", M862&gt;29, "Middle Age (30+)", M862&gt;22, "Adult (23+)", M862&gt;15, "Teen/Young Adult (16+)")</f>
        <v>Middle Age (30+)</v>
      </c>
      <c r="O862" s="3" t="s">
        <v>18</v>
      </c>
    </row>
    <row r="863" spans="1:15" x14ac:dyDescent="0.3">
      <c r="A863" s="4">
        <v>13714</v>
      </c>
      <c r="B863" s="3" t="s">
        <v>39</v>
      </c>
      <c r="C863" s="3" t="s">
        <v>41</v>
      </c>
      <c r="D863" s="11">
        <v>20000</v>
      </c>
      <c r="E863" s="9" t="str" cm="1">
        <f t="array" ref="E863">_xlfn.IFS(D863&gt;149000, "Very High", D863&gt;99000, "High", D863&gt;59999, "Average", D863&gt;19999, "Low", D863&gt;0, "Poverty")</f>
        <v>Low</v>
      </c>
      <c r="F863" s="3">
        <v>2</v>
      </c>
      <c r="G863" t="s">
        <v>27</v>
      </c>
      <c r="H863" t="s">
        <v>25</v>
      </c>
      <c r="I863" s="3" t="s">
        <v>18</v>
      </c>
      <c r="J863" s="3">
        <v>2</v>
      </c>
      <c r="K863" t="s">
        <v>26</v>
      </c>
      <c r="L863" t="s">
        <v>32</v>
      </c>
      <c r="M863" s="3">
        <v>53</v>
      </c>
      <c r="N863" s="3" t="str" cm="1">
        <f t="array" ref="N863">_xlfn.IFS(M863&gt;59, "Pension Age", M863&gt;44, "Elderly (45+)", M863&gt;29, "Middle Age (30+)", M863&gt;22, "Adult (23+)", M863&gt;15, "Teen/Young Adult (16+)")</f>
        <v>Elderly (45+)</v>
      </c>
      <c r="O863" s="3" t="s">
        <v>15</v>
      </c>
    </row>
    <row r="864" spans="1:15" x14ac:dyDescent="0.3">
      <c r="A864" s="4">
        <v>22330</v>
      </c>
      <c r="B864" s="3" t="s">
        <v>39</v>
      </c>
      <c r="C864" s="3" t="s">
        <v>42</v>
      </c>
      <c r="D864" s="11">
        <v>50000</v>
      </c>
      <c r="E864" s="9" t="str" cm="1">
        <f t="array" ref="E864">_xlfn.IFS(D864&gt;149000, "Very High", D864&gt;99000, "High", D864&gt;59999, "Average", D864&gt;19999, "Low", D864&gt;0, "Poverty")</f>
        <v>Low</v>
      </c>
      <c r="F864" s="3">
        <v>0</v>
      </c>
      <c r="G864" t="s">
        <v>31</v>
      </c>
      <c r="H864" t="s">
        <v>14</v>
      </c>
      <c r="I864" s="3" t="s">
        <v>15</v>
      </c>
      <c r="J864" s="3">
        <v>0</v>
      </c>
      <c r="K864" t="s">
        <v>26</v>
      </c>
      <c r="L864" t="s">
        <v>32</v>
      </c>
      <c r="M864" s="3">
        <v>32</v>
      </c>
      <c r="N864" s="3" t="str" cm="1">
        <f t="array" ref="N864">_xlfn.IFS(M864&gt;59, "Pension Age", M864&gt;44, "Elderly (45+)", M864&gt;29, "Middle Age (30+)", M864&gt;22, "Adult (23+)", M864&gt;15, "Teen/Young Adult (16+)")</f>
        <v>Middle Age (30+)</v>
      </c>
      <c r="O864" s="3" t="s">
        <v>15</v>
      </c>
    </row>
    <row r="865" spans="1:15" x14ac:dyDescent="0.3">
      <c r="A865" s="4">
        <v>18783</v>
      </c>
      <c r="B865" s="3" t="s">
        <v>40</v>
      </c>
      <c r="C865" s="3" t="s">
        <v>42</v>
      </c>
      <c r="D865" s="11">
        <v>80000</v>
      </c>
      <c r="E865" s="9" t="str" cm="1">
        <f t="array" ref="E865">_xlfn.IFS(D865&gt;149000, "Very High", D865&gt;99000, "High", D865&gt;59999, "Average", D865&gt;19999, "Low", D865&gt;0, "Poverty")</f>
        <v>Average</v>
      </c>
      <c r="F865" s="3">
        <v>0</v>
      </c>
      <c r="G865" t="s">
        <v>13</v>
      </c>
      <c r="H865" t="s">
        <v>28</v>
      </c>
      <c r="I865" s="3" t="s">
        <v>18</v>
      </c>
      <c r="J865" s="3">
        <v>1</v>
      </c>
      <c r="K865" t="s">
        <v>16</v>
      </c>
      <c r="L865" t="s">
        <v>32</v>
      </c>
      <c r="M865" s="3">
        <v>38</v>
      </c>
      <c r="N865" s="3" t="str" cm="1">
        <f t="array" ref="N865">_xlfn.IFS(M865&gt;59, "Pension Age", M865&gt;44, "Elderly (45+)", M865&gt;29, "Middle Age (30+)", M865&gt;22, "Adult (23+)", M865&gt;15, "Teen/Young Adult (16+)")</f>
        <v>Middle Age (30+)</v>
      </c>
      <c r="O865" s="3" t="s">
        <v>15</v>
      </c>
    </row>
    <row r="866" spans="1:15" x14ac:dyDescent="0.3">
      <c r="A866" s="4">
        <v>25041</v>
      </c>
      <c r="B866" s="3" t="s">
        <v>40</v>
      </c>
      <c r="C866" s="3" t="s">
        <v>42</v>
      </c>
      <c r="D866" s="11">
        <v>40000</v>
      </c>
      <c r="E866" s="9" t="str" cm="1">
        <f t="array" ref="E866">_xlfn.IFS(D866&gt;149000, "Very High", D866&gt;99000, "High", D866&gt;59999, "Average", D866&gt;19999, "Low", D866&gt;0, "Poverty")</f>
        <v>Low</v>
      </c>
      <c r="F866" s="3">
        <v>0</v>
      </c>
      <c r="G866" t="s">
        <v>27</v>
      </c>
      <c r="H866" t="s">
        <v>14</v>
      </c>
      <c r="I866" s="3" t="s">
        <v>15</v>
      </c>
      <c r="J866" s="3">
        <v>2</v>
      </c>
      <c r="K866" t="s">
        <v>23</v>
      </c>
      <c r="L866" t="s">
        <v>32</v>
      </c>
      <c r="M866" s="3">
        <v>31</v>
      </c>
      <c r="N866" s="3" t="str" cm="1">
        <f t="array" ref="N866">_xlfn.IFS(M866&gt;59, "Pension Age", M866&gt;44, "Elderly (45+)", M866&gt;29, "Middle Age (30+)", M866&gt;22, "Adult (23+)", M866&gt;15, "Teen/Young Adult (16+)")</f>
        <v>Middle Age (30+)</v>
      </c>
      <c r="O866" s="3" t="s">
        <v>18</v>
      </c>
    </row>
    <row r="867" spans="1:15" x14ac:dyDescent="0.3">
      <c r="A867" s="4">
        <v>22046</v>
      </c>
      <c r="B867" s="3" t="s">
        <v>40</v>
      </c>
      <c r="C867" s="3" t="s">
        <v>41</v>
      </c>
      <c r="D867" s="11">
        <v>80000</v>
      </c>
      <c r="E867" s="9" t="str" cm="1">
        <f t="array" ref="E867">_xlfn.IFS(D867&gt;149000, "Very High", D867&gt;99000, "High", D867&gt;59999, "Average", D867&gt;19999, "Low", D867&gt;0, "Poverty")</f>
        <v>Average</v>
      </c>
      <c r="F867" s="3">
        <v>0</v>
      </c>
      <c r="G867" t="s">
        <v>13</v>
      </c>
      <c r="H867" t="s">
        <v>28</v>
      </c>
      <c r="I867" s="3" t="s">
        <v>18</v>
      </c>
      <c r="J867" s="3">
        <v>1</v>
      </c>
      <c r="K867" t="s">
        <v>16</v>
      </c>
      <c r="L867" t="s">
        <v>32</v>
      </c>
      <c r="M867" s="3">
        <v>38</v>
      </c>
      <c r="N867" s="3" t="str" cm="1">
        <f t="array" ref="N867">_xlfn.IFS(M867&gt;59, "Pension Age", M867&gt;44, "Elderly (45+)", M867&gt;29, "Middle Age (30+)", M867&gt;22, "Adult (23+)", M867&gt;15, "Teen/Young Adult (16+)")</f>
        <v>Middle Age (30+)</v>
      </c>
      <c r="O867" s="3" t="s">
        <v>15</v>
      </c>
    </row>
    <row r="868" spans="1:15" x14ac:dyDescent="0.3">
      <c r="A868" s="4">
        <v>28052</v>
      </c>
      <c r="B868" s="3" t="s">
        <v>39</v>
      </c>
      <c r="C868" s="3" t="s">
        <v>42</v>
      </c>
      <c r="D868" s="11">
        <v>60000</v>
      </c>
      <c r="E868" s="9" t="str" cm="1">
        <f t="array" ref="E868">_xlfn.IFS(D868&gt;149000, "Very High", D868&gt;99000, "High", D868&gt;59999, "Average", D868&gt;19999, "Low", D868&gt;0, "Poverty")</f>
        <v>Average</v>
      </c>
      <c r="F868" s="3">
        <v>2</v>
      </c>
      <c r="G868" t="s">
        <v>27</v>
      </c>
      <c r="H868" t="s">
        <v>21</v>
      </c>
      <c r="I868" s="3" t="s">
        <v>15</v>
      </c>
      <c r="J868" s="3">
        <v>2</v>
      </c>
      <c r="K868" t="s">
        <v>30</v>
      </c>
      <c r="L868" t="s">
        <v>32</v>
      </c>
      <c r="M868" s="3">
        <v>55</v>
      </c>
      <c r="N868" s="3" t="str" cm="1">
        <f t="array" ref="N868">_xlfn.IFS(M868&gt;59, "Pension Age", M868&gt;44, "Elderly (45+)", M868&gt;29, "Middle Age (30+)", M868&gt;22, "Adult (23+)", M868&gt;15, "Teen/Young Adult (16+)")</f>
        <v>Elderly (45+)</v>
      </c>
      <c r="O868" s="3" t="s">
        <v>18</v>
      </c>
    </row>
    <row r="869" spans="1:15" x14ac:dyDescent="0.3">
      <c r="A869" s="4">
        <v>26693</v>
      </c>
      <c r="B869" s="3" t="s">
        <v>39</v>
      </c>
      <c r="C869" s="3" t="s">
        <v>42</v>
      </c>
      <c r="D869" s="11">
        <v>70000</v>
      </c>
      <c r="E869" s="9" t="str" cm="1">
        <f t="array" ref="E869">_xlfn.IFS(D869&gt;149000, "Very High", D869&gt;99000, "High", D869&gt;59999, "Average", D869&gt;19999, "Low", D869&gt;0, "Poverty")</f>
        <v>Average</v>
      </c>
      <c r="F869" s="3">
        <v>3</v>
      </c>
      <c r="G869" t="s">
        <v>19</v>
      </c>
      <c r="H869" t="s">
        <v>21</v>
      </c>
      <c r="I869" s="3" t="s">
        <v>15</v>
      </c>
      <c r="J869" s="3">
        <v>1</v>
      </c>
      <c r="K869" t="s">
        <v>23</v>
      </c>
      <c r="L869" t="s">
        <v>32</v>
      </c>
      <c r="M869" s="3">
        <v>49</v>
      </c>
      <c r="N869" s="3" t="str" cm="1">
        <f t="array" ref="N869">_xlfn.IFS(M869&gt;59, "Pension Age", M869&gt;44, "Elderly (45+)", M869&gt;29, "Middle Age (30+)", M869&gt;22, "Adult (23+)", M869&gt;15, "Teen/Young Adult (16+)")</f>
        <v>Elderly (45+)</v>
      </c>
      <c r="O869" s="3" t="s">
        <v>18</v>
      </c>
    </row>
    <row r="870" spans="1:15" x14ac:dyDescent="0.3">
      <c r="A870" s="4">
        <v>24955</v>
      </c>
      <c r="B870" s="3" t="s">
        <v>40</v>
      </c>
      <c r="C870" s="3" t="s">
        <v>42</v>
      </c>
      <c r="D870" s="11">
        <v>30000</v>
      </c>
      <c r="E870" s="9" t="str" cm="1">
        <f t="array" ref="E870">_xlfn.IFS(D870&gt;149000, "Very High", D870&gt;99000, "High", D870&gt;59999, "Average", D870&gt;19999, "Low", D870&gt;0, "Poverty")</f>
        <v>Low</v>
      </c>
      <c r="F870" s="3">
        <v>5</v>
      </c>
      <c r="G870" t="s">
        <v>29</v>
      </c>
      <c r="H870" t="s">
        <v>14</v>
      </c>
      <c r="I870" s="3" t="s">
        <v>15</v>
      </c>
      <c r="J870" s="3">
        <v>3</v>
      </c>
      <c r="K870" t="s">
        <v>30</v>
      </c>
      <c r="L870" t="s">
        <v>32</v>
      </c>
      <c r="M870" s="3">
        <v>60</v>
      </c>
      <c r="N870" s="3" t="str" cm="1">
        <f t="array" ref="N870">_xlfn.IFS(M870&gt;59, "Pension Age", M870&gt;44, "Elderly (45+)", M870&gt;29, "Middle Age (30+)", M870&gt;22, "Adult (23+)", M870&gt;15, "Teen/Young Adult (16+)")</f>
        <v>Pension Age</v>
      </c>
      <c r="O870" s="3" t="s">
        <v>15</v>
      </c>
    </row>
    <row r="871" spans="1:15" x14ac:dyDescent="0.3">
      <c r="A871" s="4">
        <v>26065</v>
      </c>
      <c r="B871" s="3" t="s">
        <v>40</v>
      </c>
      <c r="C871" s="3" t="s">
        <v>41</v>
      </c>
      <c r="D871" s="11">
        <v>110000</v>
      </c>
      <c r="E871" s="9" t="str" cm="1">
        <f t="array" ref="E871">_xlfn.IFS(D871&gt;149000, "Very High", D871&gt;99000, "High", D871&gt;59999, "Average", D871&gt;19999, "Low", D871&gt;0, "Poverty")</f>
        <v>High</v>
      </c>
      <c r="F871" s="3">
        <v>3</v>
      </c>
      <c r="G871" t="s">
        <v>13</v>
      </c>
      <c r="H871" t="s">
        <v>28</v>
      </c>
      <c r="I871" s="3" t="s">
        <v>18</v>
      </c>
      <c r="J871" s="3">
        <v>4</v>
      </c>
      <c r="K871" t="s">
        <v>26</v>
      </c>
      <c r="L871" t="s">
        <v>32</v>
      </c>
      <c r="M871" s="3">
        <v>42</v>
      </c>
      <c r="N871" s="3" t="str" cm="1">
        <f t="array" ref="N871">_xlfn.IFS(M871&gt;59, "Pension Age", M871&gt;44, "Elderly (45+)", M871&gt;29, "Middle Age (30+)", M871&gt;22, "Adult (23+)", M871&gt;15, "Teen/Young Adult (16+)")</f>
        <v>Middle Age (30+)</v>
      </c>
      <c r="O871" s="3" t="s">
        <v>18</v>
      </c>
    </row>
    <row r="872" spans="1:15" x14ac:dyDescent="0.3">
      <c r="A872" s="4">
        <v>13942</v>
      </c>
      <c r="B872" s="3" t="s">
        <v>39</v>
      </c>
      <c r="C872" s="3" t="s">
        <v>42</v>
      </c>
      <c r="D872" s="11">
        <v>60000</v>
      </c>
      <c r="E872" s="9" t="str" cm="1">
        <f t="array" ref="E872">_xlfn.IFS(D872&gt;149000, "Very High", D872&gt;99000, "High", D872&gt;59999, "Average", D872&gt;19999, "Low", D872&gt;0, "Poverty")</f>
        <v>Average</v>
      </c>
      <c r="F872" s="3">
        <v>1</v>
      </c>
      <c r="G872" t="s">
        <v>19</v>
      </c>
      <c r="H872" t="s">
        <v>14</v>
      </c>
      <c r="I872" s="3" t="s">
        <v>15</v>
      </c>
      <c r="J872" s="3">
        <v>1</v>
      </c>
      <c r="K872" t="s">
        <v>16</v>
      </c>
      <c r="L872" t="s">
        <v>32</v>
      </c>
      <c r="M872" s="3">
        <v>46</v>
      </c>
      <c r="N872" s="3" t="str" cm="1">
        <f t="array" ref="N872">_xlfn.IFS(M872&gt;59, "Pension Age", M872&gt;44, "Elderly (45+)", M872&gt;29, "Middle Age (30+)", M872&gt;22, "Adult (23+)", M872&gt;15, "Teen/Young Adult (16+)")</f>
        <v>Elderly (45+)</v>
      </c>
      <c r="O872" s="3" t="s">
        <v>18</v>
      </c>
    </row>
    <row r="873" spans="1:15" x14ac:dyDescent="0.3">
      <c r="A873" s="4">
        <v>11219</v>
      </c>
      <c r="B873" s="3" t="s">
        <v>39</v>
      </c>
      <c r="C873" s="3" t="s">
        <v>42</v>
      </c>
      <c r="D873" s="11">
        <v>60000</v>
      </c>
      <c r="E873" s="9" t="str" cm="1">
        <f t="array" ref="E873">_xlfn.IFS(D873&gt;149000, "Very High", D873&gt;99000, "High", D873&gt;59999, "Average", D873&gt;19999, "Low", D873&gt;0, "Poverty")</f>
        <v>Average</v>
      </c>
      <c r="F873" s="3">
        <v>2</v>
      </c>
      <c r="G873" t="s">
        <v>27</v>
      </c>
      <c r="H873" t="s">
        <v>21</v>
      </c>
      <c r="I873" s="3" t="s">
        <v>15</v>
      </c>
      <c r="J873" s="3">
        <v>2</v>
      </c>
      <c r="K873" t="s">
        <v>30</v>
      </c>
      <c r="L873" t="s">
        <v>32</v>
      </c>
      <c r="M873" s="3">
        <v>55</v>
      </c>
      <c r="N873" s="3" t="str" cm="1">
        <f t="array" ref="N873">_xlfn.IFS(M873&gt;59, "Pension Age", M873&gt;44, "Elderly (45+)", M873&gt;29, "Middle Age (30+)", M873&gt;22, "Adult (23+)", M873&gt;15, "Teen/Young Adult (16+)")</f>
        <v>Elderly (45+)</v>
      </c>
      <c r="O873" s="3" t="s">
        <v>18</v>
      </c>
    </row>
    <row r="874" spans="1:15" x14ac:dyDescent="0.3">
      <c r="A874" s="4">
        <v>22118</v>
      </c>
      <c r="B874" s="3" t="s">
        <v>40</v>
      </c>
      <c r="C874" s="3" t="s">
        <v>41</v>
      </c>
      <c r="D874" s="11">
        <v>70000</v>
      </c>
      <c r="E874" s="9" t="str" cm="1">
        <f t="array" ref="E874">_xlfn.IFS(D874&gt;149000, "Very High", D874&gt;99000, "High", D874&gt;59999, "Average", D874&gt;19999, "Low", D874&gt;0, "Poverty")</f>
        <v>Average</v>
      </c>
      <c r="F874" s="3">
        <v>3</v>
      </c>
      <c r="G874" t="s">
        <v>31</v>
      </c>
      <c r="H874" t="s">
        <v>28</v>
      </c>
      <c r="I874" s="3" t="s">
        <v>15</v>
      </c>
      <c r="J874" s="3">
        <v>2</v>
      </c>
      <c r="K874" t="s">
        <v>23</v>
      </c>
      <c r="L874" t="s">
        <v>32</v>
      </c>
      <c r="M874" s="3">
        <v>53</v>
      </c>
      <c r="N874" s="3" t="str" cm="1">
        <f t="array" ref="N874">_xlfn.IFS(M874&gt;59, "Pension Age", M874&gt;44, "Elderly (45+)", M874&gt;29, "Middle Age (30+)", M874&gt;22, "Adult (23+)", M874&gt;15, "Teen/Young Adult (16+)")</f>
        <v>Elderly (45+)</v>
      </c>
      <c r="O874" s="3" t="s">
        <v>15</v>
      </c>
    </row>
    <row r="875" spans="1:15" x14ac:dyDescent="0.3">
      <c r="A875" s="4">
        <v>23197</v>
      </c>
      <c r="B875" s="3" t="s">
        <v>39</v>
      </c>
      <c r="C875" s="3" t="s">
        <v>42</v>
      </c>
      <c r="D875" s="11">
        <v>50000</v>
      </c>
      <c r="E875" s="9" t="str" cm="1">
        <f t="array" ref="E875">_xlfn.IFS(D875&gt;149000, "Very High", D875&gt;99000, "High", D875&gt;59999, "Average", D875&gt;19999, "Low", D875&gt;0, "Poverty")</f>
        <v>Low</v>
      </c>
      <c r="F875" s="3">
        <v>3</v>
      </c>
      <c r="G875" t="s">
        <v>13</v>
      </c>
      <c r="H875" t="s">
        <v>14</v>
      </c>
      <c r="I875" s="3" t="s">
        <v>15</v>
      </c>
      <c r="J875" s="3">
        <v>2</v>
      </c>
      <c r="K875" t="s">
        <v>22</v>
      </c>
      <c r="L875" t="s">
        <v>32</v>
      </c>
      <c r="M875" s="3">
        <v>40</v>
      </c>
      <c r="N875" s="3" t="str" cm="1">
        <f t="array" ref="N875">_xlfn.IFS(M875&gt;59, "Pension Age", M875&gt;44, "Elderly (45+)", M875&gt;29, "Middle Age (30+)", M875&gt;22, "Adult (23+)", M875&gt;15, "Teen/Young Adult (16+)")</f>
        <v>Middle Age (30+)</v>
      </c>
      <c r="O875" s="3" t="s">
        <v>18</v>
      </c>
    </row>
    <row r="876" spans="1:15" x14ac:dyDescent="0.3">
      <c r="A876" s="4">
        <v>14883</v>
      </c>
      <c r="B876" s="3" t="s">
        <v>39</v>
      </c>
      <c r="C876" s="3" t="s">
        <v>41</v>
      </c>
      <c r="D876" s="11">
        <v>30000</v>
      </c>
      <c r="E876" s="9" t="str" cm="1">
        <f t="array" ref="E876">_xlfn.IFS(D876&gt;149000, "Very High", D876&gt;99000, "High", D876&gt;59999, "Average", D876&gt;19999, "Low", D876&gt;0, "Poverty")</f>
        <v>Low</v>
      </c>
      <c r="F876" s="3">
        <v>1</v>
      </c>
      <c r="G876" t="s">
        <v>13</v>
      </c>
      <c r="H876" t="s">
        <v>14</v>
      </c>
      <c r="I876" s="3" t="s">
        <v>15</v>
      </c>
      <c r="J876" s="3">
        <v>1</v>
      </c>
      <c r="K876" t="s">
        <v>23</v>
      </c>
      <c r="L876" t="s">
        <v>32</v>
      </c>
      <c r="M876" s="3">
        <v>53</v>
      </c>
      <c r="N876" s="3" t="str" cm="1">
        <f t="array" ref="N876">_xlfn.IFS(M876&gt;59, "Pension Age", M876&gt;44, "Elderly (45+)", M876&gt;29, "Middle Age (30+)", M876&gt;22, "Adult (23+)", M876&gt;15, "Teen/Young Adult (16+)")</f>
        <v>Elderly (45+)</v>
      </c>
      <c r="O876" s="3" t="s">
        <v>15</v>
      </c>
    </row>
    <row r="877" spans="1:15" x14ac:dyDescent="0.3">
      <c r="A877" s="4">
        <v>27279</v>
      </c>
      <c r="B877" s="3" t="s">
        <v>40</v>
      </c>
      <c r="C877" s="3" t="s">
        <v>41</v>
      </c>
      <c r="D877" s="11">
        <v>70000</v>
      </c>
      <c r="E877" s="9" t="str" cm="1">
        <f t="array" ref="E877">_xlfn.IFS(D877&gt;149000, "Very High", D877&gt;99000, "High", D877&gt;59999, "Average", D877&gt;19999, "Low", D877&gt;0, "Poverty")</f>
        <v>Average</v>
      </c>
      <c r="F877" s="3">
        <v>2</v>
      </c>
      <c r="G877" t="s">
        <v>13</v>
      </c>
      <c r="H877" t="s">
        <v>14</v>
      </c>
      <c r="I877" s="3" t="s">
        <v>15</v>
      </c>
      <c r="J877" s="3">
        <v>0</v>
      </c>
      <c r="K877" t="s">
        <v>22</v>
      </c>
      <c r="L877" t="s">
        <v>32</v>
      </c>
      <c r="M877" s="3">
        <v>38</v>
      </c>
      <c r="N877" s="3" t="str" cm="1">
        <f t="array" ref="N877">_xlfn.IFS(M877&gt;59, "Pension Age", M877&gt;44, "Elderly (45+)", M877&gt;29, "Middle Age (30+)", M877&gt;22, "Adult (23+)", M877&gt;15, "Teen/Young Adult (16+)")</f>
        <v>Middle Age (30+)</v>
      </c>
      <c r="O877" s="3" t="s">
        <v>15</v>
      </c>
    </row>
    <row r="878" spans="1:15" x14ac:dyDescent="0.3">
      <c r="A878" s="4">
        <v>18322</v>
      </c>
      <c r="B878" s="3" t="s">
        <v>40</v>
      </c>
      <c r="C878" s="3" t="s">
        <v>42</v>
      </c>
      <c r="D878" s="11">
        <v>30000</v>
      </c>
      <c r="E878" s="9" t="str" cm="1">
        <f t="array" ref="E878">_xlfn.IFS(D878&gt;149000, "Very High", D878&gt;99000, "High", D878&gt;59999, "Average", D878&gt;19999, "Low", D878&gt;0, "Poverty")</f>
        <v>Low</v>
      </c>
      <c r="F878" s="3">
        <v>0</v>
      </c>
      <c r="G878" t="s">
        <v>29</v>
      </c>
      <c r="H878" t="s">
        <v>20</v>
      </c>
      <c r="I878" s="3" t="s">
        <v>18</v>
      </c>
      <c r="J878" s="3">
        <v>2</v>
      </c>
      <c r="K878" t="s">
        <v>16</v>
      </c>
      <c r="L878" t="s">
        <v>32</v>
      </c>
      <c r="M878" s="3">
        <v>26</v>
      </c>
      <c r="N878" s="3" t="str" cm="1">
        <f t="array" ref="N878">_xlfn.IFS(M878&gt;59, "Pension Age", M878&gt;44, "Elderly (45+)", M878&gt;29, "Middle Age (30+)", M878&gt;22, "Adult (23+)", M878&gt;15, "Teen/Young Adult (16+)")</f>
        <v>Adult (23+)</v>
      </c>
      <c r="O878" s="3" t="s">
        <v>18</v>
      </c>
    </row>
    <row r="879" spans="1:15" x14ac:dyDescent="0.3">
      <c r="A879" s="4">
        <v>15879</v>
      </c>
      <c r="B879" s="3" t="s">
        <v>39</v>
      </c>
      <c r="C879" s="3" t="s">
        <v>42</v>
      </c>
      <c r="D879" s="11">
        <v>70000</v>
      </c>
      <c r="E879" s="9" t="str" cm="1">
        <f t="array" ref="E879">_xlfn.IFS(D879&gt;149000, "Very High", D879&gt;99000, "High", D879&gt;59999, "Average", D879&gt;19999, "Low", D879&gt;0, "Poverty")</f>
        <v>Average</v>
      </c>
      <c r="F879" s="3">
        <v>5</v>
      </c>
      <c r="G879" t="s">
        <v>13</v>
      </c>
      <c r="H879" t="s">
        <v>28</v>
      </c>
      <c r="I879" s="3" t="s">
        <v>15</v>
      </c>
      <c r="J879" s="3">
        <v>2</v>
      </c>
      <c r="K879" t="s">
        <v>22</v>
      </c>
      <c r="L879" t="s">
        <v>32</v>
      </c>
      <c r="M879" s="3">
        <v>61</v>
      </c>
      <c r="N879" s="3" t="str" cm="1">
        <f t="array" ref="N879">_xlfn.IFS(M879&gt;59, "Pension Age", M879&gt;44, "Elderly (45+)", M879&gt;29, "Middle Age (30+)", M879&gt;22, "Adult (23+)", M879&gt;15, "Teen/Young Adult (16+)")</f>
        <v>Pension Age</v>
      </c>
      <c r="O879" s="3" t="s">
        <v>18</v>
      </c>
    </row>
    <row r="880" spans="1:15" x14ac:dyDescent="0.3">
      <c r="A880" s="4">
        <v>28278</v>
      </c>
      <c r="B880" s="3" t="s">
        <v>39</v>
      </c>
      <c r="C880" s="3" t="s">
        <v>42</v>
      </c>
      <c r="D880" s="11">
        <v>50000</v>
      </c>
      <c r="E880" s="9" t="str" cm="1">
        <f t="array" ref="E880">_xlfn.IFS(D880&gt;149000, "Very High", D880&gt;99000, "High", D880&gt;59999, "Average", D880&gt;19999, "Low", D880&gt;0, "Poverty")</f>
        <v>Low</v>
      </c>
      <c r="F880" s="3">
        <v>2</v>
      </c>
      <c r="G880" t="s">
        <v>31</v>
      </c>
      <c r="H880" t="s">
        <v>28</v>
      </c>
      <c r="I880" s="3" t="s">
        <v>15</v>
      </c>
      <c r="J880" s="3">
        <v>2</v>
      </c>
      <c r="K880" t="s">
        <v>23</v>
      </c>
      <c r="L880" t="s">
        <v>32</v>
      </c>
      <c r="M880" s="3">
        <v>71</v>
      </c>
      <c r="N880" s="3" t="str" cm="1">
        <f t="array" ref="N880">_xlfn.IFS(M880&gt;59, "Pension Age", M880&gt;44, "Elderly (45+)", M880&gt;29, "Middle Age (30+)", M880&gt;22, "Adult (23+)", M880&gt;15, "Teen/Young Adult (16+)")</f>
        <v>Pension Age</v>
      </c>
      <c r="O880" s="3" t="s">
        <v>18</v>
      </c>
    </row>
    <row r="881" spans="1:15" x14ac:dyDescent="0.3">
      <c r="A881" s="4">
        <v>24416</v>
      </c>
      <c r="B881" s="3" t="s">
        <v>39</v>
      </c>
      <c r="C881" s="3" t="s">
        <v>42</v>
      </c>
      <c r="D881" s="11">
        <v>90000</v>
      </c>
      <c r="E881" s="9" t="str" cm="1">
        <f t="array" ref="E881">_xlfn.IFS(D881&gt;149000, "Very High", D881&gt;99000, "High", D881&gt;59999, "Average", D881&gt;19999, "Low", D881&gt;0, "Poverty")</f>
        <v>Average</v>
      </c>
      <c r="F881" s="3">
        <v>4</v>
      </c>
      <c r="G881" t="s">
        <v>27</v>
      </c>
      <c r="H881" t="s">
        <v>21</v>
      </c>
      <c r="I881" s="3" t="s">
        <v>15</v>
      </c>
      <c r="J881" s="3">
        <v>2</v>
      </c>
      <c r="K881" t="s">
        <v>26</v>
      </c>
      <c r="L881" t="s">
        <v>32</v>
      </c>
      <c r="M881" s="3">
        <v>45</v>
      </c>
      <c r="N881" s="3" t="str" cm="1">
        <f t="array" ref="N881">_xlfn.IFS(M881&gt;59, "Pension Age", M881&gt;44, "Elderly (45+)", M881&gt;29, "Middle Age (30+)", M881&gt;22, "Adult (23+)", M881&gt;15, "Teen/Young Adult (16+)")</f>
        <v>Elderly (45+)</v>
      </c>
      <c r="O881" s="3" t="s">
        <v>18</v>
      </c>
    </row>
    <row r="882" spans="1:15" x14ac:dyDescent="0.3">
      <c r="A882" s="4">
        <v>28066</v>
      </c>
      <c r="B882" s="3" t="s">
        <v>39</v>
      </c>
      <c r="C882" s="3" t="s">
        <v>42</v>
      </c>
      <c r="D882" s="11">
        <v>80000</v>
      </c>
      <c r="E882" s="9" t="str" cm="1">
        <f t="array" ref="E882">_xlfn.IFS(D882&gt;149000, "Very High", D882&gt;99000, "High", D882&gt;59999, "Average", D882&gt;19999, "Low", D882&gt;0, "Poverty")</f>
        <v>Average</v>
      </c>
      <c r="F882" s="3">
        <v>2</v>
      </c>
      <c r="G882" t="s">
        <v>31</v>
      </c>
      <c r="H882" t="s">
        <v>21</v>
      </c>
      <c r="I882" s="3" t="s">
        <v>15</v>
      </c>
      <c r="J882" s="3">
        <v>0</v>
      </c>
      <c r="K882" t="s">
        <v>16</v>
      </c>
      <c r="L882" t="s">
        <v>32</v>
      </c>
      <c r="M882" s="3">
        <v>37</v>
      </c>
      <c r="N882" s="3" t="str" cm="1">
        <f t="array" ref="N882">_xlfn.IFS(M882&gt;59, "Pension Age", M882&gt;44, "Elderly (45+)", M882&gt;29, "Middle Age (30+)", M882&gt;22, "Adult (23+)", M882&gt;15, "Teen/Young Adult (16+)")</f>
        <v>Middle Age (30+)</v>
      </c>
      <c r="O882" s="3" t="s">
        <v>15</v>
      </c>
    </row>
    <row r="883" spans="1:15" x14ac:dyDescent="0.3">
      <c r="A883" s="4">
        <v>11275</v>
      </c>
      <c r="B883" s="3" t="s">
        <v>39</v>
      </c>
      <c r="C883" s="3" t="s">
        <v>41</v>
      </c>
      <c r="D883" s="11">
        <v>80000</v>
      </c>
      <c r="E883" s="9" t="str" cm="1">
        <f t="array" ref="E883">_xlfn.IFS(D883&gt;149000, "Very High", D883&gt;99000, "High", D883&gt;59999, "Average", D883&gt;19999, "Low", D883&gt;0, "Poverty")</f>
        <v>Average</v>
      </c>
      <c r="F883" s="3">
        <v>4</v>
      </c>
      <c r="G883" t="s">
        <v>31</v>
      </c>
      <c r="H883" t="s">
        <v>28</v>
      </c>
      <c r="I883" s="3" t="s">
        <v>15</v>
      </c>
      <c r="J883" s="3">
        <v>2</v>
      </c>
      <c r="K883" t="s">
        <v>16</v>
      </c>
      <c r="L883" t="s">
        <v>32</v>
      </c>
      <c r="M883" s="3">
        <v>72</v>
      </c>
      <c r="N883" s="3" t="str" cm="1">
        <f t="array" ref="N883">_xlfn.IFS(M883&gt;59, "Pension Age", M883&gt;44, "Elderly (45+)", M883&gt;29, "Middle Age (30+)", M883&gt;22, "Adult (23+)", M883&gt;15, "Teen/Young Adult (16+)")</f>
        <v>Pension Age</v>
      </c>
      <c r="O883" s="3" t="s">
        <v>15</v>
      </c>
    </row>
    <row r="884" spans="1:15" x14ac:dyDescent="0.3">
      <c r="A884" s="4">
        <v>14872</v>
      </c>
      <c r="B884" s="3" t="s">
        <v>39</v>
      </c>
      <c r="C884" s="3" t="s">
        <v>42</v>
      </c>
      <c r="D884" s="11">
        <v>30000</v>
      </c>
      <c r="E884" s="9" t="str" cm="1">
        <f t="array" ref="E884">_xlfn.IFS(D884&gt;149000, "Very High", D884&gt;99000, "High", D884&gt;59999, "Average", D884&gt;19999, "Low", D884&gt;0, "Poverty")</f>
        <v>Low</v>
      </c>
      <c r="F884" s="3">
        <v>0</v>
      </c>
      <c r="G884" t="s">
        <v>31</v>
      </c>
      <c r="H884" t="s">
        <v>14</v>
      </c>
      <c r="I884" s="3" t="s">
        <v>15</v>
      </c>
      <c r="J884" s="3">
        <v>0</v>
      </c>
      <c r="K884" t="s">
        <v>16</v>
      </c>
      <c r="L884" t="s">
        <v>32</v>
      </c>
      <c r="M884" s="3">
        <v>32</v>
      </c>
      <c r="N884" s="3" t="str" cm="1">
        <f t="array" ref="N884">_xlfn.IFS(M884&gt;59, "Pension Age", M884&gt;44, "Elderly (45+)", M884&gt;29, "Middle Age (30+)", M884&gt;22, "Adult (23+)", M884&gt;15, "Teen/Young Adult (16+)")</f>
        <v>Middle Age (30+)</v>
      </c>
      <c r="O884" s="3" t="s">
        <v>18</v>
      </c>
    </row>
    <row r="885" spans="1:15" x14ac:dyDescent="0.3">
      <c r="A885" s="4">
        <v>16151</v>
      </c>
      <c r="B885" s="3" t="s">
        <v>39</v>
      </c>
      <c r="C885" s="3" t="s">
        <v>41</v>
      </c>
      <c r="D885" s="11">
        <v>60000</v>
      </c>
      <c r="E885" s="9" t="str" cm="1">
        <f t="array" ref="E885">_xlfn.IFS(D885&gt;149000, "Very High", D885&gt;99000, "High", D885&gt;59999, "Average", D885&gt;19999, "Low", D885&gt;0, "Poverty")</f>
        <v>Average</v>
      </c>
      <c r="F885" s="3">
        <v>1</v>
      </c>
      <c r="G885" t="s">
        <v>13</v>
      </c>
      <c r="H885" t="s">
        <v>21</v>
      </c>
      <c r="I885" s="3" t="s">
        <v>15</v>
      </c>
      <c r="J885" s="3">
        <v>1</v>
      </c>
      <c r="K885" t="s">
        <v>22</v>
      </c>
      <c r="L885" t="s">
        <v>32</v>
      </c>
      <c r="M885" s="3">
        <v>48</v>
      </c>
      <c r="N885" s="3" t="str" cm="1">
        <f t="array" ref="N885">_xlfn.IFS(M885&gt;59, "Pension Age", M885&gt;44, "Elderly (45+)", M885&gt;29, "Middle Age (30+)", M885&gt;22, "Adult (23+)", M885&gt;15, "Teen/Young Adult (16+)")</f>
        <v>Elderly (45+)</v>
      </c>
      <c r="O885" s="3" t="s">
        <v>15</v>
      </c>
    </row>
    <row r="886" spans="1:15" x14ac:dyDescent="0.3">
      <c r="A886" s="4">
        <v>19731</v>
      </c>
      <c r="B886" s="3" t="s">
        <v>39</v>
      </c>
      <c r="C886" s="3" t="s">
        <v>42</v>
      </c>
      <c r="D886" s="11">
        <v>80000</v>
      </c>
      <c r="E886" s="9" t="str" cm="1">
        <f t="array" ref="E886">_xlfn.IFS(D886&gt;149000, "Very High", D886&gt;99000, "High", D886&gt;59999, "Average", D886&gt;19999, "Low", D886&gt;0, "Poverty")</f>
        <v>Average</v>
      </c>
      <c r="F886" s="3">
        <v>4</v>
      </c>
      <c r="G886" t="s">
        <v>31</v>
      </c>
      <c r="H886" t="s">
        <v>28</v>
      </c>
      <c r="I886" s="3" t="s">
        <v>15</v>
      </c>
      <c r="J886" s="3">
        <v>2</v>
      </c>
      <c r="K886" t="s">
        <v>23</v>
      </c>
      <c r="L886" t="s">
        <v>32</v>
      </c>
      <c r="M886" s="3">
        <v>68</v>
      </c>
      <c r="N886" s="3" t="str" cm="1">
        <f t="array" ref="N886">_xlfn.IFS(M886&gt;59, "Pension Age", M886&gt;44, "Elderly (45+)", M886&gt;29, "Middle Age (30+)", M886&gt;22, "Adult (23+)", M886&gt;15, "Teen/Young Adult (16+)")</f>
        <v>Pension Age</v>
      </c>
      <c r="O886" s="3" t="s">
        <v>18</v>
      </c>
    </row>
    <row r="887" spans="1:15" x14ac:dyDescent="0.3">
      <c r="A887" s="4">
        <v>23801</v>
      </c>
      <c r="B887" s="3" t="s">
        <v>39</v>
      </c>
      <c r="C887" s="3" t="s">
        <v>41</v>
      </c>
      <c r="D887" s="11">
        <v>20000</v>
      </c>
      <c r="E887" s="9" t="str" cm="1">
        <f t="array" ref="E887">_xlfn.IFS(D887&gt;149000, "Very High", D887&gt;99000, "High", D887&gt;59999, "Average", D887&gt;19999, "Low", D887&gt;0, "Poverty")</f>
        <v>Low</v>
      </c>
      <c r="F887" s="3">
        <v>2</v>
      </c>
      <c r="G887" t="s">
        <v>29</v>
      </c>
      <c r="H887" t="s">
        <v>20</v>
      </c>
      <c r="I887" s="3" t="s">
        <v>15</v>
      </c>
      <c r="J887" s="3">
        <v>2</v>
      </c>
      <c r="K887" t="s">
        <v>16</v>
      </c>
      <c r="L887" t="s">
        <v>32</v>
      </c>
      <c r="M887" s="3">
        <v>49</v>
      </c>
      <c r="N887" s="3" t="str" cm="1">
        <f t="array" ref="N887">_xlfn.IFS(M887&gt;59, "Pension Age", M887&gt;44, "Elderly (45+)", M887&gt;29, "Middle Age (30+)", M887&gt;22, "Adult (23+)", M887&gt;15, "Teen/Young Adult (16+)")</f>
        <v>Elderly (45+)</v>
      </c>
      <c r="O887" s="3" t="s">
        <v>18</v>
      </c>
    </row>
    <row r="888" spans="1:15" x14ac:dyDescent="0.3">
      <c r="A888" s="4">
        <v>11807</v>
      </c>
      <c r="B888" s="3" t="s">
        <v>39</v>
      </c>
      <c r="C888" s="3" t="s">
        <v>42</v>
      </c>
      <c r="D888" s="11">
        <v>70000</v>
      </c>
      <c r="E888" s="9" t="str" cm="1">
        <f t="array" ref="E888">_xlfn.IFS(D888&gt;149000, "Very High", D888&gt;99000, "High", D888&gt;59999, "Average", D888&gt;19999, "Low", D888&gt;0, "Poverty")</f>
        <v>Average</v>
      </c>
      <c r="F888" s="3">
        <v>3</v>
      </c>
      <c r="G888" t="s">
        <v>31</v>
      </c>
      <c r="H888" t="s">
        <v>21</v>
      </c>
      <c r="I888" s="3" t="s">
        <v>15</v>
      </c>
      <c r="J888" s="3">
        <v>0</v>
      </c>
      <c r="K888" t="s">
        <v>22</v>
      </c>
      <c r="L888" t="s">
        <v>32</v>
      </c>
      <c r="M888" s="3">
        <v>34</v>
      </c>
      <c r="N888" s="3" t="str" cm="1">
        <f t="array" ref="N888">_xlfn.IFS(M888&gt;59, "Pension Age", M888&gt;44, "Elderly (45+)", M888&gt;29, "Middle Age (30+)", M888&gt;22, "Adult (23+)", M888&gt;15, "Teen/Young Adult (16+)")</f>
        <v>Middle Age (30+)</v>
      </c>
      <c r="O888" s="3" t="s">
        <v>18</v>
      </c>
    </row>
    <row r="889" spans="1:15" x14ac:dyDescent="0.3">
      <c r="A889" s="4">
        <v>11622</v>
      </c>
      <c r="B889" s="3" t="s">
        <v>39</v>
      </c>
      <c r="C889" s="3" t="s">
        <v>42</v>
      </c>
      <c r="D889" s="11">
        <v>50000</v>
      </c>
      <c r="E889" s="9" t="str" cm="1">
        <f t="array" ref="E889">_xlfn.IFS(D889&gt;149000, "Very High", D889&gt;99000, "High", D889&gt;59999, "Average", D889&gt;19999, "Low", D889&gt;0, "Poverty")</f>
        <v>Low</v>
      </c>
      <c r="F889" s="3">
        <v>0</v>
      </c>
      <c r="G889" t="s">
        <v>31</v>
      </c>
      <c r="H889" t="s">
        <v>14</v>
      </c>
      <c r="I889" s="3" t="s">
        <v>15</v>
      </c>
      <c r="J889" s="3">
        <v>0</v>
      </c>
      <c r="K889" t="s">
        <v>16</v>
      </c>
      <c r="L889" t="s">
        <v>32</v>
      </c>
      <c r="M889" s="3">
        <v>32</v>
      </c>
      <c r="N889" s="3" t="str" cm="1">
        <f t="array" ref="N889">_xlfn.IFS(M889&gt;59, "Pension Age", M889&gt;44, "Elderly (45+)", M889&gt;29, "Middle Age (30+)", M889&gt;22, "Adult (23+)", M889&gt;15, "Teen/Young Adult (16+)")</f>
        <v>Middle Age (30+)</v>
      </c>
      <c r="O889" s="3" t="s">
        <v>18</v>
      </c>
    </row>
    <row r="890" spans="1:15" x14ac:dyDescent="0.3">
      <c r="A890" s="4">
        <v>26597</v>
      </c>
      <c r="B890" s="3" t="s">
        <v>40</v>
      </c>
      <c r="C890" s="3" t="s">
        <v>41</v>
      </c>
      <c r="D890" s="11">
        <v>60000</v>
      </c>
      <c r="E890" s="9" t="str" cm="1">
        <f t="array" ref="E890">_xlfn.IFS(D890&gt;149000, "Very High", D890&gt;99000, "High", D890&gt;59999, "Average", D890&gt;19999, "Low", D890&gt;0, "Poverty")</f>
        <v>Average</v>
      </c>
      <c r="F890" s="3">
        <v>4</v>
      </c>
      <c r="G890" t="s">
        <v>13</v>
      </c>
      <c r="H890" t="s">
        <v>14</v>
      </c>
      <c r="I890" s="3" t="s">
        <v>18</v>
      </c>
      <c r="J890" s="3">
        <v>2</v>
      </c>
      <c r="K890" t="s">
        <v>16</v>
      </c>
      <c r="L890" t="s">
        <v>32</v>
      </c>
      <c r="M890" s="3">
        <v>42</v>
      </c>
      <c r="N890" s="3" t="str" cm="1">
        <f t="array" ref="N890">_xlfn.IFS(M890&gt;59, "Pension Age", M890&gt;44, "Elderly (45+)", M890&gt;29, "Middle Age (30+)", M890&gt;22, "Adult (23+)", M890&gt;15, "Teen/Young Adult (16+)")</f>
        <v>Middle Age (30+)</v>
      </c>
      <c r="O890" s="3" t="s">
        <v>18</v>
      </c>
    </row>
    <row r="891" spans="1:15" x14ac:dyDescent="0.3">
      <c r="A891" s="4">
        <v>27074</v>
      </c>
      <c r="B891" s="3" t="s">
        <v>39</v>
      </c>
      <c r="C891" s="3" t="s">
        <v>41</v>
      </c>
      <c r="D891" s="11">
        <v>70000</v>
      </c>
      <c r="E891" s="9" t="str" cm="1">
        <f t="array" ref="E891">_xlfn.IFS(D891&gt;149000, "Very High", D891&gt;99000, "High", D891&gt;59999, "Average", D891&gt;19999, "Low", D891&gt;0, "Poverty")</f>
        <v>Average</v>
      </c>
      <c r="F891" s="3">
        <v>1</v>
      </c>
      <c r="G891" t="s">
        <v>31</v>
      </c>
      <c r="H891" t="s">
        <v>14</v>
      </c>
      <c r="I891" s="3" t="s">
        <v>15</v>
      </c>
      <c r="J891" s="3">
        <v>0</v>
      </c>
      <c r="K891" t="s">
        <v>16</v>
      </c>
      <c r="L891" t="s">
        <v>32</v>
      </c>
      <c r="M891" s="3">
        <v>35</v>
      </c>
      <c r="N891" s="3" t="str" cm="1">
        <f t="array" ref="N891">_xlfn.IFS(M891&gt;59, "Pension Age", M891&gt;44, "Elderly (45+)", M891&gt;29, "Middle Age (30+)", M891&gt;22, "Adult (23+)", M891&gt;15, "Teen/Young Adult (16+)")</f>
        <v>Middle Age (30+)</v>
      </c>
      <c r="O891" s="3" t="s">
        <v>15</v>
      </c>
    </row>
    <row r="892" spans="1:15" x14ac:dyDescent="0.3">
      <c r="A892" s="4">
        <v>19228</v>
      </c>
      <c r="B892" s="3" t="s">
        <v>39</v>
      </c>
      <c r="C892" s="3" t="s">
        <v>41</v>
      </c>
      <c r="D892" s="11">
        <v>40000</v>
      </c>
      <c r="E892" s="9" t="str" cm="1">
        <f t="array" ref="E892">_xlfn.IFS(D892&gt;149000, "Very High", D892&gt;99000, "High", D892&gt;59999, "Average", D892&gt;19999, "Low", D892&gt;0, "Poverty")</f>
        <v>Low</v>
      </c>
      <c r="F892" s="3">
        <v>2</v>
      </c>
      <c r="G892" t="s">
        <v>19</v>
      </c>
      <c r="H892" t="s">
        <v>20</v>
      </c>
      <c r="I892" s="3" t="s">
        <v>15</v>
      </c>
      <c r="J892" s="3">
        <v>1</v>
      </c>
      <c r="K892" t="s">
        <v>16</v>
      </c>
      <c r="L892" t="s">
        <v>32</v>
      </c>
      <c r="M892" s="3">
        <v>48</v>
      </c>
      <c r="N892" s="3" t="str" cm="1">
        <f t="array" ref="N892">_xlfn.IFS(M892&gt;59, "Pension Age", M892&gt;44, "Elderly (45+)", M892&gt;29, "Middle Age (30+)", M892&gt;22, "Adult (23+)", M892&gt;15, "Teen/Young Adult (16+)")</f>
        <v>Elderly (45+)</v>
      </c>
      <c r="O892" s="3" t="s">
        <v>18</v>
      </c>
    </row>
    <row r="893" spans="1:15" x14ac:dyDescent="0.3">
      <c r="A893" s="4">
        <v>13415</v>
      </c>
      <c r="B893" s="3" t="s">
        <v>40</v>
      </c>
      <c r="C893" s="3" t="s">
        <v>42</v>
      </c>
      <c r="D893" s="11">
        <v>100000</v>
      </c>
      <c r="E893" s="9" t="str" cm="1">
        <f t="array" ref="E893">_xlfn.IFS(D893&gt;149000, "Very High", D893&gt;99000, "High", D893&gt;59999, "Average", D893&gt;19999, "Low", D893&gt;0, "Poverty")</f>
        <v>High</v>
      </c>
      <c r="F893" s="3">
        <v>1</v>
      </c>
      <c r="G893" t="s">
        <v>31</v>
      </c>
      <c r="H893" t="s">
        <v>28</v>
      </c>
      <c r="I893" s="3" t="s">
        <v>15</v>
      </c>
      <c r="J893" s="3">
        <v>3</v>
      </c>
      <c r="K893" t="s">
        <v>22</v>
      </c>
      <c r="L893" t="s">
        <v>32</v>
      </c>
      <c r="M893" s="3">
        <v>73</v>
      </c>
      <c r="N893" s="3" t="str" cm="1">
        <f t="array" ref="N893">_xlfn.IFS(M893&gt;59, "Pension Age", M893&gt;44, "Elderly (45+)", M893&gt;29, "Middle Age (30+)", M893&gt;22, "Adult (23+)", M893&gt;15, "Teen/Young Adult (16+)")</f>
        <v>Pension Age</v>
      </c>
      <c r="O893" s="3" t="s">
        <v>15</v>
      </c>
    </row>
    <row r="894" spans="1:15" x14ac:dyDescent="0.3">
      <c r="A894" s="4">
        <v>17000</v>
      </c>
      <c r="B894" s="3" t="s">
        <v>40</v>
      </c>
      <c r="C894" s="3" t="s">
        <v>41</v>
      </c>
      <c r="D894" s="11">
        <v>70000</v>
      </c>
      <c r="E894" s="9" t="str" cm="1">
        <f t="array" ref="E894">_xlfn.IFS(D894&gt;149000, "Very High", D894&gt;99000, "High", D894&gt;59999, "Average", D894&gt;19999, "Low", D894&gt;0, "Poverty")</f>
        <v>Average</v>
      </c>
      <c r="F894" s="3">
        <v>4</v>
      </c>
      <c r="G894" t="s">
        <v>13</v>
      </c>
      <c r="H894" t="s">
        <v>14</v>
      </c>
      <c r="I894" s="3" t="s">
        <v>15</v>
      </c>
      <c r="J894" s="3">
        <v>2</v>
      </c>
      <c r="K894" t="s">
        <v>22</v>
      </c>
      <c r="L894" t="s">
        <v>32</v>
      </c>
      <c r="M894" s="3">
        <v>43</v>
      </c>
      <c r="N894" s="3" t="str" cm="1">
        <f t="array" ref="N894">_xlfn.IFS(M894&gt;59, "Pension Age", M894&gt;44, "Elderly (45+)", M894&gt;29, "Middle Age (30+)", M894&gt;22, "Adult (23+)", M894&gt;15, "Teen/Young Adult (16+)")</f>
        <v>Middle Age (30+)</v>
      </c>
      <c r="O894" s="3" t="s">
        <v>15</v>
      </c>
    </row>
    <row r="895" spans="1:15" x14ac:dyDescent="0.3">
      <c r="A895" s="4">
        <v>14569</v>
      </c>
      <c r="B895" s="3" t="s">
        <v>39</v>
      </c>
      <c r="C895" s="3" t="s">
        <v>42</v>
      </c>
      <c r="D895" s="11">
        <v>60000</v>
      </c>
      <c r="E895" s="9" t="str" cm="1">
        <f t="array" ref="E895">_xlfn.IFS(D895&gt;149000, "Very High", D895&gt;99000, "High", D895&gt;59999, "Average", D895&gt;19999, "Low", D895&gt;0, "Poverty")</f>
        <v>Average</v>
      </c>
      <c r="F895" s="3">
        <v>1</v>
      </c>
      <c r="G895" t="s">
        <v>31</v>
      </c>
      <c r="H895" t="s">
        <v>21</v>
      </c>
      <c r="I895" s="3" t="s">
        <v>15</v>
      </c>
      <c r="J895" s="3">
        <v>0</v>
      </c>
      <c r="K895" t="s">
        <v>16</v>
      </c>
      <c r="L895" t="s">
        <v>32</v>
      </c>
      <c r="M895" s="3">
        <v>35</v>
      </c>
      <c r="N895" s="3" t="str" cm="1">
        <f t="array" ref="N895">_xlfn.IFS(M895&gt;59, "Pension Age", M895&gt;44, "Elderly (45+)", M895&gt;29, "Middle Age (30+)", M895&gt;22, "Adult (23+)", M895&gt;15, "Teen/Young Adult (16+)")</f>
        <v>Middle Age (30+)</v>
      </c>
      <c r="O895" s="3" t="s">
        <v>18</v>
      </c>
    </row>
    <row r="896" spans="1:15" x14ac:dyDescent="0.3">
      <c r="A896" s="4">
        <v>13873</v>
      </c>
      <c r="B896" s="3" t="s">
        <v>39</v>
      </c>
      <c r="C896" s="3" t="s">
        <v>42</v>
      </c>
      <c r="D896" s="11">
        <v>70000</v>
      </c>
      <c r="E896" s="9" t="str" cm="1">
        <f t="array" ref="E896">_xlfn.IFS(D896&gt;149000, "Very High", D896&gt;99000, "High", D896&gt;59999, "Average", D896&gt;19999, "Low", D896&gt;0, "Poverty")</f>
        <v>Average</v>
      </c>
      <c r="F896" s="3">
        <v>3</v>
      </c>
      <c r="G896" t="s">
        <v>31</v>
      </c>
      <c r="H896" t="s">
        <v>21</v>
      </c>
      <c r="I896" s="3" t="s">
        <v>15</v>
      </c>
      <c r="J896" s="3">
        <v>0</v>
      </c>
      <c r="K896" t="s">
        <v>16</v>
      </c>
      <c r="L896" t="s">
        <v>32</v>
      </c>
      <c r="M896" s="3">
        <v>35</v>
      </c>
      <c r="N896" s="3" t="str" cm="1">
        <f t="array" ref="N896">_xlfn.IFS(M896&gt;59, "Pension Age", M896&gt;44, "Elderly (45+)", M896&gt;29, "Middle Age (30+)", M896&gt;22, "Adult (23+)", M896&gt;15, "Teen/Young Adult (16+)")</f>
        <v>Middle Age (30+)</v>
      </c>
      <c r="O896" s="3" t="s">
        <v>15</v>
      </c>
    </row>
    <row r="897" spans="1:15" x14ac:dyDescent="0.3">
      <c r="A897" s="4">
        <v>20401</v>
      </c>
      <c r="B897" s="3" t="s">
        <v>39</v>
      </c>
      <c r="C897" s="3" t="s">
        <v>41</v>
      </c>
      <c r="D897" s="11">
        <v>50000</v>
      </c>
      <c r="E897" s="9" t="str" cm="1">
        <f t="array" ref="E897">_xlfn.IFS(D897&gt;149000, "Very High", D897&gt;99000, "High", D897&gt;59999, "Average", D897&gt;19999, "Low", D897&gt;0, "Poverty")</f>
        <v>Low</v>
      </c>
      <c r="F897" s="3">
        <v>4</v>
      </c>
      <c r="G897" t="s">
        <v>13</v>
      </c>
      <c r="H897" t="s">
        <v>28</v>
      </c>
      <c r="I897" s="3" t="s">
        <v>15</v>
      </c>
      <c r="J897" s="3">
        <v>2</v>
      </c>
      <c r="K897" t="s">
        <v>26</v>
      </c>
      <c r="L897" t="s">
        <v>32</v>
      </c>
      <c r="M897" s="3">
        <v>64</v>
      </c>
      <c r="N897" s="3" t="str" cm="1">
        <f t="array" ref="N897">_xlfn.IFS(M897&gt;59, "Pension Age", M897&gt;44, "Elderly (45+)", M897&gt;29, "Middle Age (30+)", M897&gt;22, "Adult (23+)", M897&gt;15, "Teen/Young Adult (16+)")</f>
        <v>Pension Age</v>
      </c>
      <c r="O897" s="3" t="s">
        <v>15</v>
      </c>
    </row>
    <row r="898" spans="1:15" x14ac:dyDescent="0.3">
      <c r="A898" s="4">
        <v>21583</v>
      </c>
      <c r="B898" s="3" t="s">
        <v>39</v>
      </c>
      <c r="C898" s="3" t="s">
        <v>41</v>
      </c>
      <c r="D898" s="11">
        <v>50000</v>
      </c>
      <c r="E898" s="9" t="str" cm="1">
        <f t="array" ref="E898">_xlfn.IFS(D898&gt;149000, "Very High", D898&gt;99000, "High", D898&gt;59999, "Average", D898&gt;19999, "Low", D898&gt;0, "Poverty")</f>
        <v>Low</v>
      </c>
      <c r="F898" s="3">
        <v>1</v>
      </c>
      <c r="G898" t="s">
        <v>13</v>
      </c>
      <c r="H898" t="s">
        <v>14</v>
      </c>
      <c r="I898" s="3" t="s">
        <v>15</v>
      </c>
      <c r="J898" s="3">
        <v>0</v>
      </c>
      <c r="K898" t="s">
        <v>16</v>
      </c>
      <c r="L898" t="s">
        <v>32</v>
      </c>
      <c r="M898" s="3">
        <v>34</v>
      </c>
      <c r="N898" s="3" t="str" cm="1">
        <f t="array" ref="N898">_xlfn.IFS(M898&gt;59, "Pension Age", M898&gt;44, "Elderly (45+)", M898&gt;29, "Middle Age (30+)", M898&gt;22, "Adult (23+)", M898&gt;15, "Teen/Young Adult (16+)")</f>
        <v>Middle Age (30+)</v>
      </c>
      <c r="O898" s="3" t="s">
        <v>15</v>
      </c>
    </row>
    <row r="899" spans="1:15" x14ac:dyDescent="0.3">
      <c r="A899" s="4">
        <v>12029</v>
      </c>
      <c r="B899" s="3" t="s">
        <v>39</v>
      </c>
      <c r="C899" s="3" t="s">
        <v>42</v>
      </c>
      <c r="D899" s="11">
        <v>30000</v>
      </c>
      <c r="E899" s="9" t="str" cm="1">
        <f t="array" ref="E899">_xlfn.IFS(D899&gt;149000, "Very High", D899&gt;99000, "High", D899&gt;59999, "Average", D899&gt;19999, "Low", D899&gt;0, "Poverty")</f>
        <v>Low</v>
      </c>
      <c r="F899" s="3">
        <v>0</v>
      </c>
      <c r="G899" t="s">
        <v>29</v>
      </c>
      <c r="H899" t="s">
        <v>20</v>
      </c>
      <c r="I899" s="3" t="s">
        <v>18</v>
      </c>
      <c r="J899" s="3">
        <v>2</v>
      </c>
      <c r="K899" t="s">
        <v>16</v>
      </c>
      <c r="L899" t="s">
        <v>32</v>
      </c>
      <c r="M899" s="3">
        <v>28</v>
      </c>
      <c r="N899" s="3" t="str" cm="1">
        <f t="array" ref="N899">_xlfn.IFS(M899&gt;59, "Pension Age", M899&gt;44, "Elderly (45+)", M899&gt;29, "Middle Age (30+)", M899&gt;22, "Adult (23+)", M899&gt;15, "Teen/Young Adult (16+)")</f>
        <v>Adult (23+)</v>
      </c>
      <c r="O899" s="3" t="s">
        <v>18</v>
      </c>
    </row>
    <row r="900" spans="1:15" x14ac:dyDescent="0.3">
      <c r="A900" s="4">
        <v>18066</v>
      </c>
      <c r="B900" s="3" t="s">
        <v>40</v>
      </c>
      <c r="C900" s="3" t="s">
        <v>42</v>
      </c>
      <c r="D900" s="11">
        <v>70000</v>
      </c>
      <c r="E900" s="9" t="str" cm="1">
        <f t="array" ref="E900">_xlfn.IFS(D900&gt;149000, "Very High", D900&gt;99000, "High", D900&gt;59999, "Average", D900&gt;19999, "Low", D900&gt;0, "Poverty")</f>
        <v>Average</v>
      </c>
      <c r="F900" s="3">
        <v>5</v>
      </c>
      <c r="G900" t="s">
        <v>13</v>
      </c>
      <c r="H900" t="s">
        <v>28</v>
      </c>
      <c r="I900" s="3" t="s">
        <v>15</v>
      </c>
      <c r="J900" s="3">
        <v>3</v>
      </c>
      <c r="K900" t="s">
        <v>30</v>
      </c>
      <c r="L900" t="s">
        <v>32</v>
      </c>
      <c r="M900" s="3">
        <v>60</v>
      </c>
      <c r="N900" s="3" t="str" cm="1">
        <f t="array" ref="N900">_xlfn.IFS(M900&gt;59, "Pension Age", M900&gt;44, "Elderly (45+)", M900&gt;29, "Middle Age (30+)", M900&gt;22, "Adult (23+)", M900&gt;15, "Teen/Young Adult (16+)")</f>
        <v>Pension Age</v>
      </c>
      <c r="O900" s="3" t="s">
        <v>15</v>
      </c>
    </row>
    <row r="901" spans="1:15" x14ac:dyDescent="0.3">
      <c r="A901" s="4">
        <v>28192</v>
      </c>
      <c r="B901" s="3" t="s">
        <v>39</v>
      </c>
      <c r="C901" s="3" t="s">
        <v>41</v>
      </c>
      <c r="D901" s="11">
        <v>70000</v>
      </c>
      <c r="E901" s="9" t="str" cm="1">
        <f t="array" ref="E901">_xlfn.IFS(D901&gt;149000, "Very High", D901&gt;99000, "High", D901&gt;59999, "Average", D901&gt;19999, "Low", D901&gt;0, "Poverty")</f>
        <v>Average</v>
      </c>
      <c r="F901" s="3">
        <v>5</v>
      </c>
      <c r="G901" t="s">
        <v>31</v>
      </c>
      <c r="H901" t="s">
        <v>21</v>
      </c>
      <c r="I901" s="3" t="s">
        <v>15</v>
      </c>
      <c r="J901" s="3">
        <v>3</v>
      </c>
      <c r="K901" t="s">
        <v>30</v>
      </c>
      <c r="L901" t="s">
        <v>32</v>
      </c>
      <c r="M901" s="3">
        <v>46</v>
      </c>
      <c r="N901" s="3" t="str" cm="1">
        <f t="array" ref="N901">_xlfn.IFS(M901&gt;59, "Pension Age", M901&gt;44, "Elderly (45+)", M901&gt;29, "Middle Age (30+)", M901&gt;22, "Adult (23+)", M901&gt;15, "Teen/Young Adult (16+)")</f>
        <v>Elderly (45+)</v>
      </c>
      <c r="O901" s="3" t="s">
        <v>18</v>
      </c>
    </row>
    <row r="902" spans="1:15" x14ac:dyDescent="0.3">
      <c r="A902" s="4">
        <v>16122</v>
      </c>
      <c r="B902" s="3" t="s">
        <v>39</v>
      </c>
      <c r="C902" s="3" t="s">
        <v>42</v>
      </c>
      <c r="D902" s="11">
        <v>40000</v>
      </c>
      <c r="E902" s="9" t="str" cm="1">
        <f t="array" ref="E902">_xlfn.IFS(D902&gt;149000, "Very High", D902&gt;99000, "High", D902&gt;59999, "Average", D902&gt;19999, "Low", D902&gt;0, "Poverty")</f>
        <v>Low</v>
      </c>
      <c r="F902" s="3">
        <v>4</v>
      </c>
      <c r="G902" t="s">
        <v>27</v>
      </c>
      <c r="H902" t="s">
        <v>14</v>
      </c>
      <c r="I902" s="3" t="s">
        <v>15</v>
      </c>
      <c r="J902" s="3">
        <v>2</v>
      </c>
      <c r="K902" t="s">
        <v>16</v>
      </c>
      <c r="L902" t="s">
        <v>32</v>
      </c>
      <c r="M902" s="3">
        <v>44</v>
      </c>
      <c r="N902" s="3" t="str" cm="1">
        <f t="array" ref="N902">_xlfn.IFS(M902&gt;59, "Pension Age", M902&gt;44, "Elderly (45+)", M902&gt;29, "Middle Age (30+)", M902&gt;22, "Adult (23+)", M902&gt;15, "Teen/Young Adult (16+)")</f>
        <v>Middle Age (30+)</v>
      </c>
      <c r="O902" s="3" t="s">
        <v>15</v>
      </c>
    </row>
    <row r="903" spans="1:15" x14ac:dyDescent="0.3">
      <c r="A903" s="4">
        <v>18607</v>
      </c>
      <c r="B903" s="3" t="s">
        <v>40</v>
      </c>
      <c r="C903" s="3" t="s">
        <v>41</v>
      </c>
      <c r="D903" s="11">
        <v>60000</v>
      </c>
      <c r="E903" s="9" t="str" cm="1">
        <f t="array" ref="E903">_xlfn.IFS(D903&gt;149000, "Very High", D903&gt;99000, "High", D903&gt;59999, "Average", D903&gt;19999, "Low", D903&gt;0, "Poverty")</f>
        <v>Average</v>
      </c>
      <c r="F903" s="3">
        <v>4</v>
      </c>
      <c r="G903" t="s">
        <v>13</v>
      </c>
      <c r="H903" t="s">
        <v>14</v>
      </c>
      <c r="I903" s="3" t="s">
        <v>15</v>
      </c>
      <c r="J903" s="3">
        <v>2</v>
      </c>
      <c r="K903" t="s">
        <v>22</v>
      </c>
      <c r="L903" t="s">
        <v>32</v>
      </c>
      <c r="M903" s="3">
        <v>42</v>
      </c>
      <c r="N903" s="3" t="str" cm="1">
        <f t="array" ref="N903">_xlfn.IFS(M903&gt;59, "Pension Age", M903&gt;44, "Elderly (45+)", M903&gt;29, "Middle Age (30+)", M903&gt;22, "Adult (23+)", M903&gt;15, "Teen/Young Adult (16+)")</f>
        <v>Middle Age (30+)</v>
      </c>
      <c r="O903" s="3" t="s">
        <v>15</v>
      </c>
    </row>
    <row r="904" spans="1:15" x14ac:dyDescent="0.3">
      <c r="A904" s="4">
        <v>28858</v>
      </c>
      <c r="B904" s="3" t="s">
        <v>40</v>
      </c>
      <c r="C904" s="3" t="s">
        <v>42</v>
      </c>
      <c r="D904" s="11">
        <v>80000</v>
      </c>
      <c r="E904" s="9" t="str" cm="1">
        <f t="array" ref="E904">_xlfn.IFS(D904&gt;149000, "Very High", D904&gt;99000, "High", D904&gt;59999, "Average", D904&gt;19999, "Low", D904&gt;0, "Poverty")</f>
        <v>Average</v>
      </c>
      <c r="F904" s="3">
        <v>3</v>
      </c>
      <c r="G904" t="s">
        <v>13</v>
      </c>
      <c r="H904" t="s">
        <v>14</v>
      </c>
      <c r="I904" s="3" t="s">
        <v>15</v>
      </c>
      <c r="J904" s="3">
        <v>0</v>
      </c>
      <c r="K904" t="s">
        <v>22</v>
      </c>
      <c r="L904" t="s">
        <v>32</v>
      </c>
      <c r="M904" s="3">
        <v>40</v>
      </c>
      <c r="N904" s="3" t="str" cm="1">
        <f t="array" ref="N904">_xlfn.IFS(M904&gt;59, "Pension Age", M904&gt;44, "Elderly (45+)", M904&gt;29, "Middle Age (30+)", M904&gt;22, "Adult (23+)", M904&gt;15, "Teen/Young Adult (16+)")</f>
        <v>Middle Age (30+)</v>
      </c>
      <c r="O904" s="3" t="s">
        <v>18</v>
      </c>
    </row>
    <row r="905" spans="1:15" x14ac:dyDescent="0.3">
      <c r="A905" s="4">
        <v>14432</v>
      </c>
      <c r="B905" s="3" t="s">
        <v>40</v>
      </c>
      <c r="C905" s="3" t="s">
        <v>42</v>
      </c>
      <c r="D905" s="11">
        <v>90000</v>
      </c>
      <c r="E905" s="9" t="str" cm="1">
        <f t="array" ref="E905">_xlfn.IFS(D905&gt;149000, "Very High", D905&gt;99000, "High", D905&gt;59999, "Average", D905&gt;19999, "Low", D905&gt;0, "Poverty")</f>
        <v>Average</v>
      </c>
      <c r="F905" s="3">
        <v>4</v>
      </c>
      <c r="G905" t="s">
        <v>31</v>
      </c>
      <c r="H905" t="s">
        <v>28</v>
      </c>
      <c r="I905" s="3" t="s">
        <v>15</v>
      </c>
      <c r="J905" s="3">
        <v>1</v>
      </c>
      <c r="K905" t="s">
        <v>23</v>
      </c>
      <c r="L905" t="s">
        <v>32</v>
      </c>
      <c r="M905" s="3">
        <v>73</v>
      </c>
      <c r="N905" s="3" t="str" cm="1">
        <f t="array" ref="N905">_xlfn.IFS(M905&gt;59, "Pension Age", M905&gt;44, "Elderly (45+)", M905&gt;29, "Middle Age (30+)", M905&gt;22, "Adult (23+)", M905&gt;15, "Teen/Young Adult (16+)")</f>
        <v>Pension Age</v>
      </c>
      <c r="O905" s="3" t="s">
        <v>18</v>
      </c>
    </row>
    <row r="906" spans="1:15" x14ac:dyDescent="0.3">
      <c r="A906" s="4">
        <v>26305</v>
      </c>
      <c r="B906" s="3" t="s">
        <v>40</v>
      </c>
      <c r="C906" s="3" t="s">
        <v>41</v>
      </c>
      <c r="D906" s="11">
        <v>60000</v>
      </c>
      <c r="E906" s="9" t="str" cm="1">
        <f t="array" ref="E906">_xlfn.IFS(D906&gt;149000, "Very High", D906&gt;99000, "High", D906&gt;59999, "Average", D906&gt;19999, "Low", D906&gt;0, "Poverty")</f>
        <v>Average</v>
      </c>
      <c r="F906" s="3">
        <v>2</v>
      </c>
      <c r="G906" t="s">
        <v>13</v>
      </c>
      <c r="H906" t="s">
        <v>14</v>
      </c>
      <c r="I906" s="3" t="s">
        <v>18</v>
      </c>
      <c r="J906" s="3">
        <v>0</v>
      </c>
      <c r="K906" t="s">
        <v>16</v>
      </c>
      <c r="L906" t="s">
        <v>32</v>
      </c>
      <c r="M906" s="3">
        <v>36</v>
      </c>
      <c r="N906" s="3" t="str" cm="1">
        <f t="array" ref="N906">_xlfn.IFS(M906&gt;59, "Pension Age", M906&gt;44, "Elderly (45+)", M906&gt;29, "Middle Age (30+)", M906&gt;22, "Adult (23+)", M906&gt;15, "Teen/Young Adult (16+)")</f>
        <v>Middle Age (30+)</v>
      </c>
      <c r="O906" s="3" t="s">
        <v>15</v>
      </c>
    </row>
    <row r="907" spans="1:15" x14ac:dyDescent="0.3">
      <c r="A907" s="4">
        <v>22050</v>
      </c>
      <c r="B907" s="3" t="s">
        <v>40</v>
      </c>
      <c r="C907" s="3" t="s">
        <v>42</v>
      </c>
      <c r="D907" s="11">
        <v>90000</v>
      </c>
      <c r="E907" s="9" t="str" cm="1">
        <f t="array" ref="E907">_xlfn.IFS(D907&gt;149000, "Very High", D907&gt;99000, "High", D907&gt;59999, "Average", D907&gt;19999, "Low", D907&gt;0, "Poverty")</f>
        <v>Average</v>
      </c>
      <c r="F907" s="3">
        <v>4</v>
      </c>
      <c r="G907" t="s">
        <v>13</v>
      </c>
      <c r="H907" t="s">
        <v>28</v>
      </c>
      <c r="I907" s="3" t="s">
        <v>15</v>
      </c>
      <c r="J907" s="3">
        <v>1</v>
      </c>
      <c r="K907" t="s">
        <v>26</v>
      </c>
      <c r="L907" t="s">
        <v>32</v>
      </c>
      <c r="M907" s="3">
        <v>38</v>
      </c>
      <c r="N907" s="3" t="str" cm="1">
        <f t="array" ref="N907">_xlfn.IFS(M907&gt;59, "Pension Age", M907&gt;44, "Elderly (45+)", M907&gt;29, "Middle Age (30+)", M907&gt;22, "Adult (23+)", M907&gt;15, "Teen/Young Adult (16+)")</f>
        <v>Middle Age (30+)</v>
      </c>
      <c r="O907" s="3" t="s">
        <v>15</v>
      </c>
    </row>
    <row r="908" spans="1:15" x14ac:dyDescent="0.3">
      <c r="A908" s="4">
        <v>25394</v>
      </c>
      <c r="B908" s="3" t="s">
        <v>39</v>
      </c>
      <c r="C908" s="3" t="s">
        <v>42</v>
      </c>
      <c r="D908" s="11">
        <v>60000</v>
      </c>
      <c r="E908" s="9" t="str" cm="1">
        <f t="array" ref="E908">_xlfn.IFS(D908&gt;149000, "Very High", D908&gt;99000, "High", D908&gt;59999, "Average", D908&gt;19999, "Low", D908&gt;0, "Poverty")</f>
        <v>Average</v>
      </c>
      <c r="F908" s="3">
        <v>1</v>
      </c>
      <c r="G908" t="s">
        <v>31</v>
      </c>
      <c r="H908" t="s">
        <v>21</v>
      </c>
      <c r="I908" s="3" t="s">
        <v>15</v>
      </c>
      <c r="J908" s="3">
        <v>0</v>
      </c>
      <c r="K908" t="s">
        <v>22</v>
      </c>
      <c r="L908" t="s">
        <v>32</v>
      </c>
      <c r="M908" s="3">
        <v>34</v>
      </c>
      <c r="N908" s="3" t="str" cm="1">
        <f t="array" ref="N908">_xlfn.IFS(M908&gt;59, "Pension Age", M908&gt;44, "Elderly (45+)", M908&gt;29, "Middle Age (30+)", M908&gt;22, "Adult (23+)", M908&gt;15, "Teen/Young Adult (16+)")</f>
        <v>Middle Age (30+)</v>
      </c>
      <c r="O908" s="3" t="s">
        <v>15</v>
      </c>
    </row>
    <row r="909" spans="1:15" x14ac:dyDescent="0.3">
      <c r="A909" s="4">
        <v>19747</v>
      </c>
      <c r="B909" s="3" t="s">
        <v>39</v>
      </c>
      <c r="C909" s="3" t="s">
        <v>42</v>
      </c>
      <c r="D909" s="11">
        <v>50000</v>
      </c>
      <c r="E909" s="9" t="str" cm="1">
        <f t="array" ref="E909">_xlfn.IFS(D909&gt;149000, "Very High", D909&gt;99000, "High", D909&gt;59999, "Average", D909&gt;19999, "Low", D909&gt;0, "Poverty")</f>
        <v>Low</v>
      </c>
      <c r="F909" s="3">
        <v>4</v>
      </c>
      <c r="G909" t="s">
        <v>13</v>
      </c>
      <c r="H909" t="s">
        <v>28</v>
      </c>
      <c r="I909" s="3" t="s">
        <v>15</v>
      </c>
      <c r="J909" s="3">
        <v>2</v>
      </c>
      <c r="K909" t="s">
        <v>30</v>
      </c>
      <c r="L909" t="s">
        <v>32</v>
      </c>
      <c r="M909" s="3">
        <v>63</v>
      </c>
      <c r="N909" s="3" t="str" cm="1">
        <f t="array" ref="N909">_xlfn.IFS(M909&gt;59, "Pension Age", M909&gt;44, "Elderly (45+)", M909&gt;29, "Middle Age (30+)", M909&gt;22, "Adult (23+)", M909&gt;15, "Teen/Young Adult (16+)")</f>
        <v>Pension Age</v>
      </c>
      <c r="O909" s="3" t="s">
        <v>18</v>
      </c>
    </row>
    <row r="910" spans="1:15" x14ac:dyDescent="0.3">
      <c r="A910" s="4">
        <v>23195</v>
      </c>
      <c r="B910" s="3" t="s">
        <v>40</v>
      </c>
      <c r="C910" s="3" t="s">
        <v>42</v>
      </c>
      <c r="D910" s="11">
        <v>50000</v>
      </c>
      <c r="E910" s="9" t="str" cm="1">
        <f t="array" ref="E910">_xlfn.IFS(D910&gt;149000, "Very High", D910&gt;99000, "High", D910&gt;59999, "Average", D910&gt;19999, "Low", D910&gt;0, "Poverty")</f>
        <v>Low</v>
      </c>
      <c r="F910" s="3">
        <v>3</v>
      </c>
      <c r="G910" t="s">
        <v>13</v>
      </c>
      <c r="H910" t="s">
        <v>14</v>
      </c>
      <c r="I910" s="3" t="s">
        <v>15</v>
      </c>
      <c r="J910" s="3">
        <v>2</v>
      </c>
      <c r="K910" t="s">
        <v>22</v>
      </c>
      <c r="L910" t="s">
        <v>32</v>
      </c>
      <c r="M910" s="3">
        <v>41</v>
      </c>
      <c r="N910" s="3" t="str" cm="1">
        <f t="array" ref="N910">_xlfn.IFS(M910&gt;59, "Pension Age", M910&gt;44, "Elderly (45+)", M910&gt;29, "Middle Age (30+)", M910&gt;22, "Adult (23+)", M910&gt;15, "Teen/Young Adult (16+)")</f>
        <v>Middle Age (30+)</v>
      </c>
      <c r="O910" s="3" t="s">
        <v>15</v>
      </c>
    </row>
    <row r="911" spans="1:15" x14ac:dyDescent="0.3">
      <c r="A911" s="4">
        <v>21695</v>
      </c>
      <c r="B911" s="3" t="s">
        <v>39</v>
      </c>
      <c r="C911" s="3" t="s">
        <v>42</v>
      </c>
      <c r="D911" s="11">
        <v>60000</v>
      </c>
      <c r="E911" s="9" t="str" cm="1">
        <f t="array" ref="E911">_xlfn.IFS(D911&gt;149000, "Very High", D911&gt;99000, "High", D911&gt;59999, "Average", D911&gt;19999, "Low", D911&gt;0, "Poverty")</f>
        <v>Average</v>
      </c>
      <c r="F911" s="3">
        <v>0</v>
      </c>
      <c r="G911" t="s">
        <v>31</v>
      </c>
      <c r="H911" t="s">
        <v>14</v>
      </c>
      <c r="I911" s="3" t="s">
        <v>15</v>
      </c>
      <c r="J911" s="3">
        <v>0</v>
      </c>
      <c r="K911" t="s">
        <v>26</v>
      </c>
      <c r="L911" t="s">
        <v>32</v>
      </c>
      <c r="M911" s="3">
        <v>39</v>
      </c>
      <c r="N911" s="3" t="str" cm="1">
        <f t="array" ref="N911">_xlfn.IFS(M911&gt;59, "Pension Age", M911&gt;44, "Elderly (45+)", M911&gt;29, "Middle Age (30+)", M911&gt;22, "Adult (23+)", M911&gt;15, "Teen/Young Adult (16+)")</f>
        <v>Middle Age (30+)</v>
      </c>
      <c r="O911" s="3" t="s">
        <v>15</v>
      </c>
    </row>
    <row r="912" spans="1:15" x14ac:dyDescent="0.3">
      <c r="A912" s="4">
        <v>13934</v>
      </c>
      <c r="B912" s="3" t="s">
        <v>39</v>
      </c>
      <c r="C912" s="3" t="s">
        <v>42</v>
      </c>
      <c r="D912" s="11">
        <v>40000</v>
      </c>
      <c r="E912" s="9" t="str" cm="1">
        <f t="array" ref="E912">_xlfn.IFS(D912&gt;149000, "Very High", D912&gt;99000, "High", D912&gt;59999, "Average", D912&gt;19999, "Low", D912&gt;0, "Poverty")</f>
        <v>Low</v>
      </c>
      <c r="F912" s="3">
        <v>4</v>
      </c>
      <c r="G912" t="s">
        <v>27</v>
      </c>
      <c r="H912" t="s">
        <v>14</v>
      </c>
      <c r="I912" s="3" t="s">
        <v>15</v>
      </c>
      <c r="J912" s="3">
        <v>2</v>
      </c>
      <c r="K912" t="s">
        <v>22</v>
      </c>
      <c r="L912" t="s">
        <v>32</v>
      </c>
      <c r="M912" s="3">
        <v>46</v>
      </c>
      <c r="N912" s="3" t="str" cm="1">
        <f t="array" ref="N912">_xlfn.IFS(M912&gt;59, "Pension Age", M912&gt;44, "Elderly (45+)", M912&gt;29, "Middle Age (30+)", M912&gt;22, "Adult (23+)", M912&gt;15, "Teen/Young Adult (16+)")</f>
        <v>Elderly (45+)</v>
      </c>
      <c r="O912" s="3" t="s">
        <v>18</v>
      </c>
    </row>
    <row r="913" spans="1:15" x14ac:dyDescent="0.3">
      <c r="A913" s="4">
        <v>13337</v>
      </c>
      <c r="B913" s="3" t="s">
        <v>39</v>
      </c>
      <c r="C913" s="3" t="s">
        <v>41</v>
      </c>
      <c r="D913" s="11">
        <v>80000</v>
      </c>
      <c r="E913" s="9" t="str" cm="1">
        <f t="array" ref="E913">_xlfn.IFS(D913&gt;149000, "Very High", D913&gt;99000, "High", D913&gt;59999, "Average", D913&gt;19999, "Low", D913&gt;0, "Poverty")</f>
        <v>Average</v>
      </c>
      <c r="F913" s="3">
        <v>5</v>
      </c>
      <c r="G913" t="s">
        <v>13</v>
      </c>
      <c r="H913" t="s">
        <v>28</v>
      </c>
      <c r="I913" s="3" t="s">
        <v>15</v>
      </c>
      <c r="J913" s="3">
        <v>2</v>
      </c>
      <c r="K913" t="s">
        <v>23</v>
      </c>
      <c r="L913" t="s">
        <v>32</v>
      </c>
      <c r="M913" s="3">
        <v>64</v>
      </c>
      <c r="N913" s="3" t="str" cm="1">
        <f t="array" ref="N913">_xlfn.IFS(M913&gt;59, "Pension Age", M913&gt;44, "Elderly (45+)", M913&gt;29, "Middle Age (30+)", M913&gt;22, "Adult (23+)", M913&gt;15, "Teen/Young Adult (16+)")</f>
        <v>Pension Age</v>
      </c>
      <c r="O913" s="3" t="s">
        <v>18</v>
      </c>
    </row>
    <row r="914" spans="1:15" x14ac:dyDescent="0.3">
      <c r="A914" s="4">
        <v>27190</v>
      </c>
      <c r="B914" s="3" t="s">
        <v>39</v>
      </c>
      <c r="C914" s="3" t="s">
        <v>41</v>
      </c>
      <c r="D914" s="11">
        <v>40000</v>
      </c>
      <c r="E914" s="9" t="str" cm="1">
        <f t="array" ref="E914">_xlfn.IFS(D914&gt;149000, "Very High", D914&gt;99000, "High", D914&gt;59999, "Average", D914&gt;19999, "Low", D914&gt;0, "Poverty")</f>
        <v>Low</v>
      </c>
      <c r="F914" s="3">
        <v>3</v>
      </c>
      <c r="G914" t="s">
        <v>19</v>
      </c>
      <c r="H914" t="s">
        <v>20</v>
      </c>
      <c r="I914" s="3" t="s">
        <v>15</v>
      </c>
      <c r="J914" s="3">
        <v>1</v>
      </c>
      <c r="K914" t="s">
        <v>26</v>
      </c>
      <c r="L914" t="s">
        <v>32</v>
      </c>
      <c r="M914" s="3">
        <v>32</v>
      </c>
      <c r="N914" s="3" t="str" cm="1">
        <f t="array" ref="N914">_xlfn.IFS(M914&gt;59, "Pension Age", M914&gt;44, "Elderly (45+)", M914&gt;29, "Middle Age (30+)", M914&gt;22, "Adult (23+)", M914&gt;15, "Teen/Young Adult (16+)")</f>
        <v>Middle Age (30+)</v>
      </c>
      <c r="O914" s="3" t="s">
        <v>18</v>
      </c>
    </row>
    <row r="915" spans="1:15" x14ac:dyDescent="0.3">
      <c r="A915" s="4">
        <v>28657</v>
      </c>
      <c r="B915" s="3" t="s">
        <v>40</v>
      </c>
      <c r="C915" s="3" t="s">
        <v>42</v>
      </c>
      <c r="D915" s="11">
        <v>60000</v>
      </c>
      <c r="E915" s="9" t="str" cm="1">
        <f t="array" ref="E915">_xlfn.IFS(D915&gt;149000, "Very High", D915&gt;99000, "High", D915&gt;59999, "Average", D915&gt;19999, "Low", D915&gt;0, "Poverty")</f>
        <v>Average</v>
      </c>
      <c r="F915" s="3">
        <v>2</v>
      </c>
      <c r="G915" t="s">
        <v>13</v>
      </c>
      <c r="H915" t="s">
        <v>14</v>
      </c>
      <c r="I915" s="3" t="s">
        <v>15</v>
      </c>
      <c r="J915" s="3">
        <v>0</v>
      </c>
      <c r="K915" t="s">
        <v>22</v>
      </c>
      <c r="L915" t="s">
        <v>32</v>
      </c>
      <c r="M915" s="3">
        <v>36</v>
      </c>
      <c r="N915" s="3" t="str" cm="1">
        <f t="array" ref="N915">_xlfn.IFS(M915&gt;59, "Pension Age", M915&gt;44, "Elderly (45+)", M915&gt;29, "Middle Age (30+)", M915&gt;22, "Adult (23+)", M915&gt;15, "Teen/Young Adult (16+)")</f>
        <v>Middle Age (30+)</v>
      </c>
      <c r="O915" s="3" t="s">
        <v>15</v>
      </c>
    </row>
    <row r="916" spans="1:15" x14ac:dyDescent="0.3">
      <c r="A916" s="4">
        <v>21713</v>
      </c>
      <c r="B916" s="3" t="s">
        <v>40</v>
      </c>
      <c r="C916" s="3" t="s">
        <v>42</v>
      </c>
      <c r="D916" s="11">
        <v>80000</v>
      </c>
      <c r="E916" s="9" t="str" cm="1">
        <f t="array" ref="E916">_xlfn.IFS(D916&gt;149000, "Very High", D916&gt;99000, "High", D916&gt;59999, "Average", D916&gt;19999, "Low", D916&gt;0, "Poverty")</f>
        <v>Average</v>
      </c>
      <c r="F916" s="3">
        <v>5</v>
      </c>
      <c r="G916" t="s">
        <v>31</v>
      </c>
      <c r="H916" t="s">
        <v>14</v>
      </c>
      <c r="I916" s="3" t="s">
        <v>18</v>
      </c>
      <c r="J916" s="3">
        <v>0</v>
      </c>
      <c r="K916" t="s">
        <v>16</v>
      </c>
      <c r="L916" t="s">
        <v>32</v>
      </c>
      <c r="M916" s="3">
        <v>47</v>
      </c>
      <c r="N916" s="3" t="str" cm="1">
        <f t="array" ref="N916">_xlfn.IFS(M916&gt;59, "Pension Age", M916&gt;44, "Elderly (45+)", M916&gt;29, "Middle Age (30+)", M916&gt;22, "Adult (23+)", M916&gt;15, "Teen/Young Adult (16+)")</f>
        <v>Elderly (45+)</v>
      </c>
      <c r="O916" s="3" t="s">
        <v>18</v>
      </c>
    </row>
    <row r="917" spans="1:15" x14ac:dyDescent="0.3">
      <c r="A917" s="4">
        <v>21752</v>
      </c>
      <c r="B917" s="3" t="s">
        <v>39</v>
      </c>
      <c r="C917" s="3" t="s">
        <v>42</v>
      </c>
      <c r="D917" s="11">
        <v>60000</v>
      </c>
      <c r="E917" s="9" t="str" cm="1">
        <f t="array" ref="E917">_xlfn.IFS(D917&gt;149000, "Very High", D917&gt;99000, "High", D917&gt;59999, "Average", D917&gt;19999, "Low", D917&gt;0, "Poverty")</f>
        <v>Average</v>
      </c>
      <c r="F917" s="3">
        <v>3</v>
      </c>
      <c r="G917" t="s">
        <v>31</v>
      </c>
      <c r="H917" t="s">
        <v>28</v>
      </c>
      <c r="I917" s="3" t="s">
        <v>15</v>
      </c>
      <c r="J917" s="3">
        <v>2</v>
      </c>
      <c r="K917" t="s">
        <v>30</v>
      </c>
      <c r="L917" t="s">
        <v>32</v>
      </c>
      <c r="M917" s="3">
        <v>64</v>
      </c>
      <c r="N917" s="3" t="str" cm="1">
        <f t="array" ref="N917">_xlfn.IFS(M917&gt;59, "Pension Age", M917&gt;44, "Elderly (45+)", M917&gt;29, "Middle Age (30+)", M917&gt;22, "Adult (23+)", M917&gt;15, "Teen/Young Adult (16+)")</f>
        <v>Pension Age</v>
      </c>
      <c r="O917" s="3" t="s">
        <v>18</v>
      </c>
    </row>
    <row r="918" spans="1:15" x14ac:dyDescent="0.3">
      <c r="A918" s="4">
        <v>27273</v>
      </c>
      <c r="B918" s="3" t="s">
        <v>40</v>
      </c>
      <c r="C918" s="3" t="s">
        <v>42</v>
      </c>
      <c r="D918" s="11">
        <v>70000</v>
      </c>
      <c r="E918" s="9" t="str" cm="1">
        <f t="array" ref="E918">_xlfn.IFS(D918&gt;149000, "Very High", D918&gt;99000, "High", D918&gt;59999, "Average", D918&gt;19999, "Low", D918&gt;0, "Poverty")</f>
        <v>Average</v>
      </c>
      <c r="F918" s="3">
        <v>3</v>
      </c>
      <c r="G918" t="s">
        <v>31</v>
      </c>
      <c r="H918" t="s">
        <v>21</v>
      </c>
      <c r="I918" s="3" t="s">
        <v>18</v>
      </c>
      <c r="J918" s="3">
        <v>0</v>
      </c>
      <c r="K918" t="s">
        <v>16</v>
      </c>
      <c r="L918" t="s">
        <v>32</v>
      </c>
      <c r="M918" s="3">
        <v>35</v>
      </c>
      <c r="N918" s="3" t="str" cm="1">
        <f t="array" ref="N918">_xlfn.IFS(M918&gt;59, "Pension Age", M918&gt;44, "Elderly (45+)", M918&gt;29, "Middle Age (30+)", M918&gt;22, "Adult (23+)", M918&gt;15, "Teen/Young Adult (16+)")</f>
        <v>Middle Age (30+)</v>
      </c>
      <c r="O918" s="3" t="s">
        <v>15</v>
      </c>
    </row>
    <row r="919" spans="1:15" x14ac:dyDescent="0.3">
      <c r="A919" s="4">
        <v>22719</v>
      </c>
      <c r="B919" s="3" t="s">
        <v>40</v>
      </c>
      <c r="C919" s="3" t="s">
        <v>42</v>
      </c>
      <c r="D919" s="11">
        <v>110000</v>
      </c>
      <c r="E919" s="9" t="str" cm="1">
        <f t="array" ref="E919">_xlfn.IFS(D919&gt;149000, "Very High", D919&gt;99000, "High", D919&gt;59999, "Average", D919&gt;19999, "Low", D919&gt;0, "Poverty")</f>
        <v>High</v>
      </c>
      <c r="F919" s="3">
        <v>3</v>
      </c>
      <c r="G919" t="s">
        <v>13</v>
      </c>
      <c r="H919" t="s">
        <v>28</v>
      </c>
      <c r="I919" s="3" t="s">
        <v>15</v>
      </c>
      <c r="J919" s="3">
        <v>4</v>
      </c>
      <c r="K919" t="s">
        <v>22</v>
      </c>
      <c r="L919" t="s">
        <v>32</v>
      </c>
      <c r="M919" s="3">
        <v>40</v>
      </c>
      <c r="N919" s="3" t="str" cm="1">
        <f t="array" ref="N919">_xlfn.IFS(M919&gt;59, "Pension Age", M919&gt;44, "Elderly (45+)", M919&gt;29, "Middle Age (30+)", M919&gt;22, "Adult (23+)", M919&gt;15, "Teen/Young Adult (16+)")</f>
        <v>Middle Age (30+)</v>
      </c>
      <c r="O919" s="3" t="s">
        <v>15</v>
      </c>
    </row>
    <row r="920" spans="1:15" x14ac:dyDescent="0.3">
      <c r="A920" s="4">
        <v>22042</v>
      </c>
      <c r="B920" s="3" t="s">
        <v>39</v>
      </c>
      <c r="C920" s="3" t="s">
        <v>41</v>
      </c>
      <c r="D920" s="11">
        <v>70000</v>
      </c>
      <c r="E920" s="9" t="str" cm="1">
        <f t="array" ref="E920">_xlfn.IFS(D920&gt;149000, "Very High", D920&gt;99000, "High", D920&gt;59999, "Average", D920&gt;19999, "Low", D920&gt;0, "Poverty")</f>
        <v>Average</v>
      </c>
      <c r="F920" s="3">
        <v>0</v>
      </c>
      <c r="G920" t="s">
        <v>19</v>
      </c>
      <c r="H920" t="s">
        <v>14</v>
      </c>
      <c r="I920" s="3" t="s">
        <v>15</v>
      </c>
      <c r="J920" s="3">
        <v>2</v>
      </c>
      <c r="K920" t="s">
        <v>23</v>
      </c>
      <c r="L920" t="s">
        <v>32</v>
      </c>
      <c r="M920" s="3">
        <v>34</v>
      </c>
      <c r="N920" s="3" t="str" cm="1">
        <f t="array" ref="N920">_xlfn.IFS(M920&gt;59, "Pension Age", M920&gt;44, "Elderly (45+)", M920&gt;29, "Middle Age (30+)", M920&gt;22, "Adult (23+)", M920&gt;15, "Teen/Young Adult (16+)")</f>
        <v>Middle Age (30+)</v>
      </c>
      <c r="O920" s="3" t="s">
        <v>15</v>
      </c>
    </row>
    <row r="921" spans="1:15" x14ac:dyDescent="0.3">
      <c r="A921" s="4">
        <v>21451</v>
      </c>
      <c r="B921" s="3" t="s">
        <v>39</v>
      </c>
      <c r="C921" s="3" t="s">
        <v>41</v>
      </c>
      <c r="D921" s="11">
        <v>40000</v>
      </c>
      <c r="E921" s="9" t="str" cm="1">
        <f t="array" ref="E921">_xlfn.IFS(D921&gt;149000, "Very High", D921&gt;99000, "High", D921&gt;59999, "Average", D921&gt;19999, "Low", D921&gt;0, "Poverty")</f>
        <v>Low</v>
      </c>
      <c r="F921" s="3">
        <v>4</v>
      </c>
      <c r="G921" t="s">
        <v>27</v>
      </c>
      <c r="H921" t="s">
        <v>21</v>
      </c>
      <c r="I921" s="3" t="s">
        <v>15</v>
      </c>
      <c r="J921" s="3">
        <v>2</v>
      </c>
      <c r="K921" t="s">
        <v>30</v>
      </c>
      <c r="L921" t="s">
        <v>32</v>
      </c>
      <c r="M921" s="3">
        <v>61</v>
      </c>
      <c r="N921" s="3" t="str" cm="1">
        <f t="array" ref="N921">_xlfn.IFS(M921&gt;59, "Pension Age", M921&gt;44, "Elderly (45+)", M921&gt;29, "Middle Age (30+)", M921&gt;22, "Adult (23+)", M921&gt;15, "Teen/Young Adult (16+)")</f>
        <v>Pension Age</v>
      </c>
      <c r="O921" s="3" t="s">
        <v>18</v>
      </c>
    </row>
    <row r="922" spans="1:15" x14ac:dyDescent="0.3">
      <c r="A922" s="4">
        <v>20754</v>
      </c>
      <c r="B922" s="3" t="s">
        <v>39</v>
      </c>
      <c r="C922" s="3" t="s">
        <v>42</v>
      </c>
      <c r="D922" s="11">
        <v>30000</v>
      </c>
      <c r="E922" s="9" t="str" cm="1">
        <f t="array" ref="E922">_xlfn.IFS(D922&gt;149000, "Very High", D922&gt;99000, "High", D922&gt;59999, "Average", D922&gt;19999, "Low", D922&gt;0, "Poverty")</f>
        <v>Low</v>
      </c>
      <c r="F922" s="3">
        <v>2</v>
      </c>
      <c r="G922" t="s">
        <v>27</v>
      </c>
      <c r="H922" t="s">
        <v>14</v>
      </c>
      <c r="I922" s="3" t="s">
        <v>15</v>
      </c>
      <c r="J922" s="3">
        <v>2</v>
      </c>
      <c r="K922" t="s">
        <v>26</v>
      </c>
      <c r="L922" t="s">
        <v>32</v>
      </c>
      <c r="M922" s="3">
        <v>51</v>
      </c>
      <c r="N922" s="3" t="str" cm="1">
        <f t="array" ref="N922">_xlfn.IFS(M922&gt;59, "Pension Age", M922&gt;44, "Elderly (45+)", M922&gt;29, "Middle Age (30+)", M922&gt;22, "Adult (23+)", M922&gt;15, "Teen/Young Adult (16+)")</f>
        <v>Elderly (45+)</v>
      </c>
      <c r="O922" s="3" t="s">
        <v>18</v>
      </c>
    </row>
    <row r="923" spans="1:15" x14ac:dyDescent="0.3">
      <c r="A923" s="4">
        <v>12153</v>
      </c>
      <c r="B923" s="3" t="s">
        <v>40</v>
      </c>
      <c r="C923" s="3" t="s">
        <v>41</v>
      </c>
      <c r="D923" s="11">
        <v>70000</v>
      </c>
      <c r="E923" s="9" t="str" cm="1">
        <f t="array" ref="E923">_xlfn.IFS(D923&gt;149000, "Very High", D923&gt;99000, "High", D923&gt;59999, "Average", D923&gt;19999, "Low", D923&gt;0, "Poverty")</f>
        <v>Average</v>
      </c>
      <c r="F923" s="3">
        <v>3</v>
      </c>
      <c r="G923" t="s">
        <v>19</v>
      </c>
      <c r="H923" t="s">
        <v>21</v>
      </c>
      <c r="I923" s="3" t="s">
        <v>15</v>
      </c>
      <c r="J923" s="3">
        <v>1</v>
      </c>
      <c r="K923" t="s">
        <v>23</v>
      </c>
      <c r="L923" t="s">
        <v>32</v>
      </c>
      <c r="M923" s="3">
        <v>49</v>
      </c>
      <c r="N923" s="3" t="str" cm="1">
        <f t="array" ref="N923">_xlfn.IFS(M923&gt;59, "Pension Age", M923&gt;44, "Elderly (45+)", M923&gt;29, "Middle Age (30+)", M923&gt;22, "Adult (23+)", M923&gt;15, "Teen/Young Adult (16+)")</f>
        <v>Elderly (45+)</v>
      </c>
      <c r="O923" s="3" t="s">
        <v>15</v>
      </c>
    </row>
    <row r="924" spans="1:15" x14ac:dyDescent="0.3">
      <c r="A924" s="4">
        <v>16895</v>
      </c>
      <c r="B924" s="3" t="s">
        <v>39</v>
      </c>
      <c r="C924" s="3" t="s">
        <v>41</v>
      </c>
      <c r="D924" s="11">
        <v>40000</v>
      </c>
      <c r="E924" s="9" t="str" cm="1">
        <f t="array" ref="E924">_xlfn.IFS(D924&gt;149000, "Very High", D924&gt;99000, "High", D924&gt;59999, "Average", D924&gt;19999, "Low", D924&gt;0, "Poverty")</f>
        <v>Low</v>
      </c>
      <c r="F924" s="3">
        <v>3</v>
      </c>
      <c r="G924" t="s">
        <v>19</v>
      </c>
      <c r="H924" t="s">
        <v>21</v>
      </c>
      <c r="I924" s="3" t="s">
        <v>18</v>
      </c>
      <c r="J924" s="3">
        <v>2</v>
      </c>
      <c r="K924" t="s">
        <v>26</v>
      </c>
      <c r="L924" t="s">
        <v>32</v>
      </c>
      <c r="M924" s="3">
        <v>54</v>
      </c>
      <c r="N924" s="3" t="str" cm="1">
        <f t="array" ref="N924">_xlfn.IFS(M924&gt;59, "Pension Age", M924&gt;44, "Elderly (45+)", M924&gt;29, "Middle Age (30+)", M924&gt;22, "Adult (23+)", M924&gt;15, "Teen/Young Adult (16+)")</f>
        <v>Elderly (45+)</v>
      </c>
      <c r="O924" s="3" t="s">
        <v>15</v>
      </c>
    </row>
    <row r="925" spans="1:15" x14ac:dyDescent="0.3">
      <c r="A925" s="4">
        <v>26728</v>
      </c>
      <c r="B925" s="3" t="s">
        <v>40</v>
      </c>
      <c r="C925" s="3" t="s">
        <v>42</v>
      </c>
      <c r="D925" s="11">
        <v>70000</v>
      </c>
      <c r="E925" s="9" t="str" cm="1">
        <f t="array" ref="E925">_xlfn.IFS(D925&gt;149000, "Very High", D925&gt;99000, "High", D925&gt;59999, "Average", D925&gt;19999, "Low", D925&gt;0, "Poverty")</f>
        <v>Average</v>
      </c>
      <c r="F925" s="3">
        <v>3</v>
      </c>
      <c r="G925" t="s">
        <v>31</v>
      </c>
      <c r="H925" t="s">
        <v>28</v>
      </c>
      <c r="I925" s="3" t="s">
        <v>18</v>
      </c>
      <c r="J925" s="3">
        <v>2</v>
      </c>
      <c r="K925" t="s">
        <v>26</v>
      </c>
      <c r="L925" t="s">
        <v>32</v>
      </c>
      <c r="M925" s="3">
        <v>53</v>
      </c>
      <c r="N925" s="3" t="str" cm="1">
        <f t="array" ref="N925">_xlfn.IFS(M925&gt;59, "Pension Age", M925&gt;44, "Elderly (45+)", M925&gt;29, "Middle Age (30+)", M925&gt;22, "Adult (23+)", M925&gt;15, "Teen/Young Adult (16+)")</f>
        <v>Elderly (45+)</v>
      </c>
      <c r="O925" s="3" t="s">
        <v>15</v>
      </c>
    </row>
    <row r="926" spans="1:15" x14ac:dyDescent="0.3">
      <c r="A926" s="4">
        <v>11090</v>
      </c>
      <c r="B926" s="3" t="s">
        <v>40</v>
      </c>
      <c r="C926" s="3" t="s">
        <v>42</v>
      </c>
      <c r="D926" s="11">
        <v>90000</v>
      </c>
      <c r="E926" s="9" t="str" cm="1">
        <f t="array" ref="E926">_xlfn.IFS(D926&gt;149000, "Very High", D926&gt;99000, "High", D926&gt;59999, "Average", D926&gt;19999, "Low", D926&gt;0, "Poverty")</f>
        <v>Average</v>
      </c>
      <c r="F926" s="3">
        <v>2</v>
      </c>
      <c r="G926" t="s">
        <v>19</v>
      </c>
      <c r="H926" t="s">
        <v>21</v>
      </c>
      <c r="I926" s="3" t="s">
        <v>15</v>
      </c>
      <c r="J926" s="3">
        <v>1</v>
      </c>
      <c r="K926" t="s">
        <v>22</v>
      </c>
      <c r="L926" t="s">
        <v>32</v>
      </c>
      <c r="M926" s="3">
        <v>48</v>
      </c>
      <c r="N926" s="3" t="str" cm="1">
        <f t="array" ref="N926">_xlfn.IFS(M926&gt;59, "Pension Age", M926&gt;44, "Elderly (45+)", M926&gt;29, "Middle Age (30+)", M926&gt;22, "Adult (23+)", M926&gt;15, "Teen/Young Adult (16+)")</f>
        <v>Elderly (45+)</v>
      </c>
      <c r="O926" s="3" t="s">
        <v>15</v>
      </c>
    </row>
    <row r="927" spans="1:15" x14ac:dyDescent="0.3">
      <c r="A927" s="4">
        <v>15862</v>
      </c>
      <c r="B927" s="3" t="s">
        <v>40</v>
      </c>
      <c r="C927" s="3" t="s">
        <v>41</v>
      </c>
      <c r="D927" s="11">
        <v>50000</v>
      </c>
      <c r="E927" s="9" t="str" cm="1">
        <f t="array" ref="E927">_xlfn.IFS(D927&gt;149000, "Very High", D927&gt;99000, "High", D927&gt;59999, "Average", D927&gt;19999, "Low", D927&gt;0, "Poverty")</f>
        <v>Low</v>
      </c>
      <c r="F927" s="3">
        <v>0</v>
      </c>
      <c r="G927" t="s">
        <v>31</v>
      </c>
      <c r="H927" t="s">
        <v>14</v>
      </c>
      <c r="I927" s="3" t="s">
        <v>15</v>
      </c>
      <c r="J927" s="3">
        <v>0</v>
      </c>
      <c r="K927" t="s">
        <v>26</v>
      </c>
      <c r="L927" t="s">
        <v>32</v>
      </c>
      <c r="M927" s="3">
        <v>33</v>
      </c>
      <c r="N927" s="3" t="str" cm="1">
        <f t="array" ref="N927">_xlfn.IFS(M927&gt;59, "Pension Age", M927&gt;44, "Elderly (45+)", M927&gt;29, "Middle Age (30+)", M927&gt;22, "Adult (23+)", M927&gt;15, "Teen/Young Adult (16+)")</f>
        <v>Middle Age (30+)</v>
      </c>
      <c r="O927" s="3" t="s">
        <v>15</v>
      </c>
    </row>
    <row r="928" spans="1:15" x14ac:dyDescent="0.3">
      <c r="A928" s="4">
        <v>26495</v>
      </c>
      <c r="B928" s="3" t="s">
        <v>40</v>
      </c>
      <c r="C928" s="3" t="s">
        <v>41</v>
      </c>
      <c r="D928" s="11">
        <v>40000</v>
      </c>
      <c r="E928" s="9" t="str" cm="1">
        <f t="array" ref="E928">_xlfn.IFS(D928&gt;149000, "Very High", D928&gt;99000, "High", D928&gt;59999, "Average", D928&gt;19999, "Low", D928&gt;0, "Poverty")</f>
        <v>Low</v>
      </c>
      <c r="F928" s="3">
        <v>2</v>
      </c>
      <c r="G928" t="s">
        <v>27</v>
      </c>
      <c r="H928" t="s">
        <v>21</v>
      </c>
      <c r="I928" s="3" t="s">
        <v>15</v>
      </c>
      <c r="J928" s="3">
        <v>2</v>
      </c>
      <c r="K928" t="s">
        <v>30</v>
      </c>
      <c r="L928" t="s">
        <v>32</v>
      </c>
      <c r="M928" s="3">
        <v>57</v>
      </c>
      <c r="N928" s="3" t="str" cm="1">
        <f t="array" ref="N928">_xlfn.IFS(M928&gt;59, "Pension Age", M928&gt;44, "Elderly (45+)", M928&gt;29, "Middle Age (30+)", M928&gt;22, "Adult (23+)", M928&gt;15, "Teen/Young Adult (16+)")</f>
        <v>Elderly (45+)</v>
      </c>
      <c r="O928" s="3" t="s">
        <v>18</v>
      </c>
    </row>
    <row r="929" spans="1:15" x14ac:dyDescent="0.3">
      <c r="A929" s="4">
        <v>11823</v>
      </c>
      <c r="B929" s="3" t="s">
        <v>39</v>
      </c>
      <c r="C929" s="3" t="s">
        <v>41</v>
      </c>
      <c r="D929" s="11">
        <v>70000</v>
      </c>
      <c r="E929" s="9" t="str" cm="1">
        <f t="array" ref="E929">_xlfn.IFS(D929&gt;149000, "Very High", D929&gt;99000, "High", D929&gt;59999, "Average", D929&gt;19999, "Low", D929&gt;0, "Poverty")</f>
        <v>Average</v>
      </c>
      <c r="F929" s="3">
        <v>0</v>
      </c>
      <c r="G929" t="s">
        <v>31</v>
      </c>
      <c r="H929" t="s">
        <v>21</v>
      </c>
      <c r="I929" s="3" t="s">
        <v>15</v>
      </c>
      <c r="J929" s="3">
        <v>0</v>
      </c>
      <c r="K929" t="s">
        <v>22</v>
      </c>
      <c r="L929" t="s">
        <v>32</v>
      </c>
      <c r="M929" s="3">
        <v>39</v>
      </c>
      <c r="N929" s="3" t="str" cm="1">
        <f t="array" ref="N929">_xlfn.IFS(M929&gt;59, "Pension Age", M929&gt;44, "Elderly (45+)", M929&gt;29, "Middle Age (30+)", M929&gt;22, "Adult (23+)", M929&gt;15, "Teen/Young Adult (16+)")</f>
        <v>Middle Age (30+)</v>
      </c>
      <c r="O929" s="3" t="s">
        <v>18</v>
      </c>
    </row>
    <row r="930" spans="1:15" x14ac:dyDescent="0.3">
      <c r="A930" s="4">
        <v>23449</v>
      </c>
      <c r="B930" s="3" t="s">
        <v>39</v>
      </c>
      <c r="C930" s="3" t="s">
        <v>42</v>
      </c>
      <c r="D930" s="11">
        <v>60000</v>
      </c>
      <c r="E930" s="9" t="str" cm="1">
        <f t="array" ref="E930">_xlfn.IFS(D930&gt;149000, "Very High", D930&gt;99000, "High", D930&gt;59999, "Average", D930&gt;19999, "Low", D930&gt;0, "Poverty")</f>
        <v>Average</v>
      </c>
      <c r="F930" s="3">
        <v>2</v>
      </c>
      <c r="G930" t="s">
        <v>27</v>
      </c>
      <c r="H930" t="s">
        <v>21</v>
      </c>
      <c r="I930" s="3" t="s">
        <v>15</v>
      </c>
      <c r="J930" s="3">
        <v>2</v>
      </c>
      <c r="K930" t="s">
        <v>23</v>
      </c>
      <c r="L930" t="s">
        <v>32</v>
      </c>
      <c r="M930" s="3">
        <v>48</v>
      </c>
      <c r="N930" s="3" t="str" cm="1">
        <f t="array" ref="N930">_xlfn.IFS(M930&gt;59, "Pension Age", M930&gt;44, "Elderly (45+)", M930&gt;29, "Middle Age (30+)", M930&gt;22, "Adult (23+)", M930&gt;15, "Teen/Young Adult (16+)")</f>
        <v>Elderly (45+)</v>
      </c>
      <c r="O930" s="3" t="s">
        <v>18</v>
      </c>
    </row>
    <row r="931" spans="1:15" x14ac:dyDescent="0.3">
      <c r="A931" s="4">
        <v>23459</v>
      </c>
      <c r="B931" s="3" t="s">
        <v>39</v>
      </c>
      <c r="C931" s="3" t="s">
        <v>42</v>
      </c>
      <c r="D931" s="11">
        <v>60000</v>
      </c>
      <c r="E931" s="9" t="str" cm="1">
        <f t="array" ref="E931">_xlfn.IFS(D931&gt;149000, "Very High", D931&gt;99000, "High", D931&gt;59999, "Average", D931&gt;19999, "Low", D931&gt;0, "Poverty")</f>
        <v>Average</v>
      </c>
      <c r="F931" s="3">
        <v>2</v>
      </c>
      <c r="G931" t="s">
        <v>27</v>
      </c>
      <c r="H931" t="s">
        <v>21</v>
      </c>
      <c r="I931" s="3" t="s">
        <v>15</v>
      </c>
      <c r="J931" s="3">
        <v>2</v>
      </c>
      <c r="K931" t="s">
        <v>23</v>
      </c>
      <c r="L931" t="s">
        <v>32</v>
      </c>
      <c r="M931" s="3">
        <v>50</v>
      </c>
      <c r="N931" s="3" t="str" cm="1">
        <f t="array" ref="N931">_xlfn.IFS(M931&gt;59, "Pension Age", M931&gt;44, "Elderly (45+)", M931&gt;29, "Middle Age (30+)", M931&gt;22, "Adult (23+)", M931&gt;15, "Teen/Young Adult (16+)")</f>
        <v>Elderly (45+)</v>
      </c>
      <c r="O931" s="3" t="s">
        <v>18</v>
      </c>
    </row>
    <row r="932" spans="1:15" x14ac:dyDescent="0.3">
      <c r="A932" s="4">
        <v>19543</v>
      </c>
      <c r="B932" s="3" t="s">
        <v>39</v>
      </c>
      <c r="C932" s="3" t="s">
        <v>42</v>
      </c>
      <c r="D932" s="11">
        <v>70000</v>
      </c>
      <c r="E932" s="9" t="str" cm="1">
        <f t="array" ref="E932">_xlfn.IFS(D932&gt;149000, "Very High", D932&gt;99000, "High", D932&gt;59999, "Average", D932&gt;19999, "Low", D932&gt;0, "Poverty")</f>
        <v>Average</v>
      </c>
      <c r="F932" s="3">
        <v>5</v>
      </c>
      <c r="G932" t="s">
        <v>31</v>
      </c>
      <c r="H932" t="s">
        <v>21</v>
      </c>
      <c r="I932" s="3" t="s">
        <v>18</v>
      </c>
      <c r="J932" s="3">
        <v>3</v>
      </c>
      <c r="K932" t="s">
        <v>30</v>
      </c>
      <c r="L932" t="s">
        <v>32</v>
      </c>
      <c r="M932" s="3">
        <v>47</v>
      </c>
      <c r="N932" s="3" t="str" cm="1">
        <f t="array" ref="N932">_xlfn.IFS(M932&gt;59, "Pension Age", M932&gt;44, "Elderly (45+)", M932&gt;29, "Middle Age (30+)", M932&gt;22, "Adult (23+)", M932&gt;15, "Teen/Young Adult (16+)")</f>
        <v>Elderly (45+)</v>
      </c>
      <c r="O932" s="3" t="s">
        <v>18</v>
      </c>
    </row>
    <row r="933" spans="1:15" x14ac:dyDescent="0.3">
      <c r="A933" s="4">
        <v>14914</v>
      </c>
      <c r="B933" s="3" t="s">
        <v>39</v>
      </c>
      <c r="C933" s="3" t="s">
        <v>41</v>
      </c>
      <c r="D933" s="11">
        <v>40000</v>
      </c>
      <c r="E933" s="9" t="str" cm="1">
        <f t="array" ref="E933">_xlfn.IFS(D933&gt;149000, "Very High", D933&gt;99000, "High", D933&gt;59999, "Average", D933&gt;19999, "Low", D933&gt;0, "Poverty")</f>
        <v>Low</v>
      </c>
      <c r="F933" s="3">
        <v>1</v>
      </c>
      <c r="G933" t="s">
        <v>19</v>
      </c>
      <c r="H933" t="s">
        <v>20</v>
      </c>
      <c r="I933" s="3" t="s">
        <v>15</v>
      </c>
      <c r="J933" s="3">
        <v>1</v>
      </c>
      <c r="K933" t="s">
        <v>26</v>
      </c>
      <c r="L933" t="s">
        <v>32</v>
      </c>
      <c r="M933" s="3">
        <v>49</v>
      </c>
      <c r="N933" s="3" t="str" cm="1">
        <f t="array" ref="N933">_xlfn.IFS(M933&gt;59, "Pension Age", M933&gt;44, "Elderly (45+)", M933&gt;29, "Middle Age (30+)", M933&gt;22, "Adult (23+)", M933&gt;15, "Teen/Young Adult (16+)")</f>
        <v>Elderly (45+)</v>
      </c>
      <c r="O933" s="3" t="s">
        <v>15</v>
      </c>
    </row>
    <row r="934" spans="1:15" x14ac:dyDescent="0.3">
      <c r="A934" s="4">
        <v>12033</v>
      </c>
      <c r="B934" s="3" t="s">
        <v>40</v>
      </c>
      <c r="C934" s="3" t="s">
        <v>41</v>
      </c>
      <c r="D934" s="11">
        <v>40000</v>
      </c>
      <c r="E934" s="9" t="str" cm="1">
        <f t="array" ref="E934">_xlfn.IFS(D934&gt;149000, "Very High", D934&gt;99000, "High", D934&gt;59999, "Average", D934&gt;19999, "Low", D934&gt;0, "Poverty")</f>
        <v>Low</v>
      </c>
      <c r="F934" s="3">
        <v>0</v>
      </c>
      <c r="G934" t="s">
        <v>27</v>
      </c>
      <c r="H934" t="s">
        <v>14</v>
      </c>
      <c r="I934" s="3" t="s">
        <v>18</v>
      </c>
      <c r="J934" s="3">
        <v>2</v>
      </c>
      <c r="K934" t="s">
        <v>16</v>
      </c>
      <c r="L934" t="s">
        <v>32</v>
      </c>
      <c r="M934" s="3">
        <v>27</v>
      </c>
      <c r="N934" s="3" t="str" cm="1">
        <f t="array" ref="N934">_xlfn.IFS(M934&gt;59, "Pension Age", M934&gt;44, "Elderly (45+)", M934&gt;29, "Middle Age (30+)", M934&gt;22, "Adult (23+)", M934&gt;15, "Teen/Young Adult (16+)")</f>
        <v>Adult (23+)</v>
      </c>
      <c r="O934" s="3" t="s">
        <v>15</v>
      </c>
    </row>
    <row r="935" spans="1:15" x14ac:dyDescent="0.3">
      <c r="A935" s="4">
        <v>11941</v>
      </c>
      <c r="B935" s="3" t="s">
        <v>40</v>
      </c>
      <c r="C935" s="3" t="s">
        <v>42</v>
      </c>
      <c r="D935" s="11">
        <v>60000</v>
      </c>
      <c r="E935" s="9" t="str" cm="1">
        <f t="array" ref="E935">_xlfn.IFS(D935&gt;149000, "Very High", D935&gt;99000, "High", D935&gt;59999, "Average", D935&gt;19999, "Low", D935&gt;0, "Poverty")</f>
        <v>Average</v>
      </c>
      <c r="F935" s="3">
        <v>0</v>
      </c>
      <c r="G935" t="s">
        <v>19</v>
      </c>
      <c r="H935" t="s">
        <v>14</v>
      </c>
      <c r="I935" s="3" t="s">
        <v>15</v>
      </c>
      <c r="J935" s="3">
        <v>0</v>
      </c>
      <c r="K935" t="s">
        <v>23</v>
      </c>
      <c r="L935" t="s">
        <v>32</v>
      </c>
      <c r="M935" s="3">
        <v>29</v>
      </c>
      <c r="N935" s="3" t="str" cm="1">
        <f t="array" ref="N935">_xlfn.IFS(M935&gt;59, "Pension Age", M935&gt;44, "Elderly (45+)", M935&gt;29, "Middle Age (30+)", M935&gt;22, "Adult (23+)", M935&gt;15, "Teen/Young Adult (16+)")</f>
        <v>Adult (23+)</v>
      </c>
      <c r="O935" s="3" t="s">
        <v>18</v>
      </c>
    </row>
    <row r="936" spans="1:15" x14ac:dyDescent="0.3">
      <c r="A936" s="4">
        <v>14389</v>
      </c>
      <c r="B936" s="3" t="s">
        <v>39</v>
      </c>
      <c r="C936" s="3" t="s">
        <v>42</v>
      </c>
      <c r="D936" s="11">
        <v>60000</v>
      </c>
      <c r="E936" s="9" t="str" cm="1">
        <f t="array" ref="E936">_xlfn.IFS(D936&gt;149000, "Very High", D936&gt;99000, "High", D936&gt;59999, "Average", D936&gt;19999, "Low", D936&gt;0, "Poverty")</f>
        <v>Average</v>
      </c>
      <c r="F936" s="3">
        <v>2</v>
      </c>
      <c r="G936" t="s">
        <v>13</v>
      </c>
      <c r="H936" t="s">
        <v>28</v>
      </c>
      <c r="I936" s="3" t="s">
        <v>15</v>
      </c>
      <c r="J936" s="3">
        <v>0</v>
      </c>
      <c r="K936" t="s">
        <v>22</v>
      </c>
      <c r="L936" t="s">
        <v>32</v>
      </c>
      <c r="M936" s="3">
        <v>59</v>
      </c>
      <c r="N936" s="3" t="str" cm="1">
        <f t="array" ref="N936">_xlfn.IFS(M936&gt;59, "Pension Age", M936&gt;44, "Elderly (45+)", M936&gt;29, "Middle Age (30+)", M936&gt;22, "Adult (23+)", M936&gt;15, "Teen/Young Adult (16+)")</f>
        <v>Elderly (45+)</v>
      </c>
      <c r="O936" s="3" t="s">
        <v>18</v>
      </c>
    </row>
    <row r="937" spans="1:15" x14ac:dyDescent="0.3">
      <c r="A937" s="4">
        <v>18050</v>
      </c>
      <c r="B937" s="3" t="s">
        <v>39</v>
      </c>
      <c r="C937" s="3" t="s">
        <v>41</v>
      </c>
      <c r="D937" s="11">
        <v>60000</v>
      </c>
      <c r="E937" s="9" t="str" cm="1">
        <f t="array" ref="E937">_xlfn.IFS(D937&gt;149000, "Very High", D937&gt;99000, "High", D937&gt;59999, "Average", D937&gt;19999, "Low", D937&gt;0, "Poverty")</f>
        <v>Average</v>
      </c>
      <c r="F937" s="3">
        <v>1</v>
      </c>
      <c r="G937" t="s">
        <v>19</v>
      </c>
      <c r="H937" t="s">
        <v>14</v>
      </c>
      <c r="I937" s="3" t="s">
        <v>15</v>
      </c>
      <c r="J937" s="3">
        <v>1</v>
      </c>
      <c r="K937" t="s">
        <v>16</v>
      </c>
      <c r="L937" t="s">
        <v>32</v>
      </c>
      <c r="M937" s="3">
        <v>45</v>
      </c>
      <c r="N937" s="3" t="str" cm="1">
        <f t="array" ref="N937">_xlfn.IFS(M937&gt;59, "Pension Age", M937&gt;44, "Elderly (45+)", M937&gt;29, "Middle Age (30+)", M937&gt;22, "Adult (23+)", M937&gt;15, "Teen/Young Adult (16+)")</f>
        <v>Elderly (45+)</v>
      </c>
      <c r="O937" s="3" t="s">
        <v>15</v>
      </c>
    </row>
    <row r="938" spans="1:15" x14ac:dyDescent="0.3">
      <c r="A938" s="4">
        <v>19856</v>
      </c>
      <c r="B938" s="3" t="s">
        <v>39</v>
      </c>
      <c r="C938" s="3" t="s">
        <v>41</v>
      </c>
      <c r="D938" s="11">
        <v>60000</v>
      </c>
      <c r="E938" s="9" t="str" cm="1">
        <f t="array" ref="E938">_xlfn.IFS(D938&gt;149000, "Very High", D938&gt;99000, "High", D938&gt;59999, "Average", D938&gt;19999, "Low", D938&gt;0, "Poverty")</f>
        <v>Average</v>
      </c>
      <c r="F938" s="3">
        <v>4</v>
      </c>
      <c r="G938" t="s">
        <v>13</v>
      </c>
      <c r="H938" t="s">
        <v>28</v>
      </c>
      <c r="I938" s="3" t="s">
        <v>15</v>
      </c>
      <c r="J938" s="3">
        <v>2</v>
      </c>
      <c r="K938" t="s">
        <v>22</v>
      </c>
      <c r="L938" t="s">
        <v>32</v>
      </c>
      <c r="M938" s="3">
        <v>60</v>
      </c>
      <c r="N938" s="3" t="str" cm="1">
        <f t="array" ref="N938">_xlfn.IFS(M938&gt;59, "Pension Age", M938&gt;44, "Elderly (45+)", M938&gt;29, "Middle Age (30+)", M938&gt;22, "Adult (23+)", M938&gt;15, "Teen/Young Adult (16+)")</f>
        <v>Pension Age</v>
      </c>
      <c r="O938" s="3" t="s">
        <v>18</v>
      </c>
    </row>
    <row r="939" spans="1:15" x14ac:dyDescent="0.3">
      <c r="A939" s="4">
        <v>11663</v>
      </c>
      <c r="B939" s="3" t="s">
        <v>39</v>
      </c>
      <c r="C939" s="3" t="s">
        <v>42</v>
      </c>
      <c r="D939" s="11">
        <v>70000</v>
      </c>
      <c r="E939" s="9" t="str" cm="1">
        <f t="array" ref="E939">_xlfn.IFS(D939&gt;149000, "Very High", D939&gt;99000, "High", D939&gt;59999, "Average", D939&gt;19999, "Low", D939&gt;0, "Poverty")</f>
        <v>Average</v>
      </c>
      <c r="F939" s="3">
        <v>4</v>
      </c>
      <c r="G939" t="s">
        <v>31</v>
      </c>
      <c r="H939" t="s">
        <v>21</v>
      </c>
      <c r="I939" s="3" t="s">
        <v>15</v>
      </c>
      <c r="J939" s="3">
        <v>0</v>
      </c>
      <c r="K939" t="s">
        <v>16</v>
      </c>
      <c r="L939" t="s">
        <v>32</v>
      </c>
      <c r="M939" s="3">
        <v>36</v>
      </c>
      <c r="N939" s="3" t="str" cm="1">
        <f t="array" ref="N939">_xlfn.IFS(M939&gt;59, "Pension Age", M939&gt;44, "Elderly (45+)", M939&gt;29, "Middle Age (30+)", M939&gt;22, "Adult (23+)", M939&gt;15, "Teen/Young Adult (16+)")</f>
        <v>Middle Age (30+)</v>
      </c>
      <c r="O939" s="3" t="s">
        <v>15</v>
      </c>
    </row>
    <row r="940" spans="1:15" x14ac:dyDescent="0.3">
      <c r="A940" s="4">
        <v>27740</v>
      </c>
      <c r="B940" s="3" t="s">
        <v>39</v>
      </c>
      <c r="C940" s="3" t="s">
        <v>41</v>
      </c>
      <c r="D940" s="11">
        <v>40000</v>
      </c>
      <c r="E940" s="9" t="str" cm="1">
        <f t="array" ref="E940">_xlfn.IFS(D940&gt;149000, "Very High", D940&gt;99000, "High", D940&gt;59999, "Average", D940&gt;19999, "Low", D940&gt;0, "Poverty")</f>
        <v>Low</v>
      </c>
      <c r="F940" s="3">
        <v>0</v>
      </c>
      <c r="G940" t="s">
        <v>27</v>
      </c>
      <c r="H940" t="s">
        <v>14</v>
      </c>
      <c r="I940" s="3" t="s">
        <v>15</v>
      </c>
      <c r="J940" s="3">
        <v>2</v>
      </c>
      <c r="K940" t="s">
        <v>23</v>
      </c>
      <c r="L940" t="s">
        <v>32</v>
      </c>
      <c r="M940" s="3">
        <v>27</v>
      </c>
      <c r="N940" s="3" t="str" cm="1">
        <f t="array" ref="N940">_xlfn.IFS(M940&gt;59, "Pension Age", M940&gt;44, "Elderly (45+)", M940&gt;29, "Middle Age (30+)", M940&gt;22, "Adult (23+)", M940&gt;15, "Teen/Young Adult (16+)")</f>
        <v>Adult (23+)</v>
      </c>
      <c r="O940" s="3" t="s">
        <v>18</v>
      </c>
    </row>
    <row r="941" spans="1:15" x14ac:dyDescent="0.3">
      <c r="A941" s="4">
        <v>23455</v>
      </c>
      <c r="B941" s="3" t="s">
        <v>40</v>
      </c>
      <c r="C941" s="3" t="s">
        <v>42</v>
      </c>
      <c r="D941" s="11">
        <v>80000</v>
      </c>
      <c r="E941" s="9" t="str" cm="1">
        <f t="array" ref="E941">_xlfn.IFS(D941&gt;149000, "Very High", D941&gt;99000, "High", D941&gt;59999, "Average", D941&gt;19999, "Low", D941&gt;0, "Poverty")</f>
        <v>Average</v>
      </c>
      <c r="F941" s="3">
        <v>2</v>
      </c>
      <c r="G941" t="s">
        <v>29</v>
      </c>
      <c r="H941" t="s">
        <v>14</v>
      </c>
      <c r="I941" s="3" t="s">
        <v>18</v>
      </c>
      <c r="J941" s="3">
        <v>2</v>
      </c>
      <c r="K941" t="s">
        <v>26</v>
      </c>
      <c r="L941" t="s">
        <v>32</v>
      </c>
      <c r="M941" s="3">
        <v>50</v>
      </c>
      <c r="N941" s="3" t="str" cm="1">
        <f t="array" ref="N941">_xlfn.IFS(M941&gt;59, "Pension Age", M941&gt;44, "Elderly (45+)", M941&gt;29, "Middle Age (30+)", M941&gt;22, "Adult (23+)", M941&gt;15, "Teen/Young Adult (16+)")</f>
        <v>Elderly (45+)</v>
      </c>
      <c r="O941" s="3" t="s">
        <v>18</v>
      </c>
    </row>
    <row r="942" spans="1:15" x14ac:dyDescent="0.3">
      <c r="A942" s="4">
        <v>15292</v>
      </c>
      <c r="B942" s="3" t="s">
        <v>40</v>
      </c>
      <c r="C942" s="3" t="s">
        <v>41</v>
      </c>
      <c r="D942" s="11">
        <v>60000</v>
      </c>
      <c r="E942" s="9" t="str" cm="1">
        <f t="array" ref="E942">_xlfn.IFS(D942&gt;149000, "Very High", D942&gt;99000, "High", D942&gt;59999, "Average", D942&gt;19999, "Low", D942&gt;0, "Poverty")</f>
        <v>Average</v>
      </c>
      <c r="F942" s="3">
        <v>1</v>
      </c>
      <c r="G942" t="s">
        <v>31</v>
      </c>
      <c r="H942" t="s">
        <v>14</v>
      </c>
      <c r="I942" s="3" t="s">
        <v>15</v>
      </c>
      <c r="J942" s="3">
        <v>0</v>
      </c>
      <c r="K942" t="s">
        <v>26</v>
      </c>
      <c r="L942" t="s">
        <v>32</v>
      </c>
      <c r="M942" s="3">
        <v>35</v>
      </c>
      <c r="N942" s="3" t="str" cm="1">
        <f t="array" ref="N942">_xlfn.IFS(M942&gt;59, "Pension Age", M942&gt;44, "Elderly (45+)", M942&gt;29, "Middle Age (30+)", M942&gt;22, "Adult (23+)", M942&gt;15, "Teen/Young Adult (16+)")</f>
        <v>Middle Age (30+)</v>
      </c>
      <c r="O942" s="3" t="s">
        <v>18</v>
      </c>
    </row>
    <row r="943" spans="1:15" x14ac:dyDescent="0.3">
      <c r="A943" s="4">
        <v>21587</v>
      </c>
      <c r="B943" s="3" t="s">
        <v>39</v>
      </c>
      <c r="C943" s="3" t="s">
        <v>41</v>
      </c>
      <c r="D943" s="11">
        <v>60000</v>
      </c>
      <c r="E943" s="9" t="str" cm="1">
        <f t="array" ref="E943">_xlfn.IFS(D943&gt;149000, "Very High", D943&gt;99000, "High", D943&gt;59999, "Average", D943&gt;19999, "Low", D943&gt;0, "Poverty")</f>
        <v>Average</v>
      </c>
      <c r="F943" s="3">
        <v>1</v>
      </c>
      <c r="G943" t="s">
        <v>31</v>
      </c>
      <c r="H943" t="s">
        <v>14</v>
      </c>
      <c r="I943" s="3" t="s">
        <v>15</v>
      </c>
      <c r="J943" s="3">
        <v>0</v>
      </c>
      <c r="K943" t="s">
        <v>22</v>
      </c>
      <c r="L943" t="s">
        <v>32</v>
      </c>
      <c r="M943" s="3">
        <v>34</v>
      </c>
      <c r="N943" s="3" t="str" cm="1">
        <f t="array" ref="N943">_xlfn.IFS(M943&gt;59, "Pension Age", M943&gt;44, "Elderly (45+)", M943&gt;29, "Middle Age (30+)", M943&gt;22, "Adult (23+)", M943&gt;15, "Teen/Young Adult (16+)")</f>
        <v>Middle Age (30+)</v>
      </c>
      <c r="O943" s="3" t="s">
        <v>15</v>
      </c>
    </row>
    <row r="944" spans="1:15" x14ac:dyDescent="0.3">
      <c r="A944" s="4">
        <v>23513</v>
      </c>
      <c r="B944" s="3" t="s">
        <v>39</v>
      </c>
      <c r="C944" s="3" t="s">
        <v>41</v>
      </c>
      <c r="D944" s="11">
        <v>40000</v>
      </c>
      <c r="E944" s="9" t="str" cm="1">
        <f t="array" ref="E944">_xlfn.IFS(D944&gt;149000, "Very High", D944&gt;99000, "High", D944&gt;59999, "Average", D944&gt;19999, "Low", D944&gt;0, "Poverty")</f>
        <v>Low</v>
      </c>
      <c r="F944" s="3">
        <v>3</v>
      </c>
      <c r="G944" t="s">
        <v>19</v>
      </c>
      <c r="H944" t="s">
        <v>21</v>
      </c>
      <c r="I944" s="3" t="s">
        <v>15</v>
      </c>
      <c r="J944" s="3">
        <v>2</v>
      </c>
      <c r="K944" t="s">
        <v>23</v>
      </c>
      <c r="L944" t="s">
        <v>32</v>
      </c>
      <c r="M944" s="3">
        <v>54</v>
      </c>
      <c r="N944" s="3" t="str" cm="1">
        <f t="array" ref="N944">_xlfn.IFS(M944&gt;59, "Pension Age", M944&gt;44, "Elderly (45+)", M944&gt;29, "Middle Age (30+)", M944&gt;22, "Adult (23+)", M944&gt;15, "Teen/Young Adult (16+)")</f>
        <v>Elderly (45+)</v>
      </c>
      <c r="O944" s="3" t="s">
        <v>18</v>
      </c>
    </row>
    <row r="945" spans="1:15" x14ac:dyDescent="0.3">
      <c r="A945" s="4">
        <v>24322</v>
      </c>
      <c r="B945" s="3" t="s">
        <v>39</v>
      </c>
      <c r="C945" s="3" t="s">
        <v>41</v>
      </c>
      <c r="D945" s="11">
        <v>60000</v>
      </c>
      <c r="E945" s="9" t="str" cm="1">
        <f t="array" ref="E945">_xlfn.IFS(D945&gt;149000, "Very High", D945&gt;99000, "High", D945&gt;59999, "Average", D945&gt;19999, "Low", D945&gt;0, "Poverty")</f>
        <v>Average</v>
      </c>
      <c r="F945" s="3">
        <v>4</v>
      </c>
      <c r="G945" t="s">
        <v>13</v>
      </c>
      <c r="H945" t="s">
        <v>14</v>
      </c>
      <c r="I945" s="3" t="s">
        <v>18</v>
      </c>
      <c r="J945" s="3">
        <v>2</v>
      </c>
      <c r="K945" t="s">
        <v>16</v>
      </c>
      <c r="L945" t="s">
        <v>32</v>
      </c>
      <c r="M945" s="3">
        <v>42</v>
      </c>
      <c r="N945" s="3" t="str" cm="1">
        <f t="array" ref="N945">_xlfn.IFS(M945&gt;59, "Pension Age", M945&gt;44, "Elderly (45+)", M945&gt;29, "Middle Age (30+)", M945&gt;22, "Adult (23+)", M945&gt;15, "Teen/Young Adult (16+)")</f>
        <v>Middle Age (30+)</v>
      </c>
      <c r="O945" s="3" t="s">
        <v>18</v>
      </c>
    </row>
    <row r="946" spans="1:15" x14ac:dyDescent="0.3">
      <c r="A946" s="4">
        <v>26298</v>
      </c>
      <c r="B946" s="3" t="s">
        <v>39</v>
      </c>
      <c r="C946" s="3" t="s">
        <v>41</v>
      </c>
      <c r="D946" s="11">
        <v>50000</v>
      </c>
      <c r="E946" s="9" t="str" cm="1">
        <f t="array" ref="E946">_xlfn.IFS(D946&gt;149000, "Very High", D946&gt;99000, "High", D946&gt;59999, "Average", D946&gt;19999, "Low", D946&gt;0, "Poverty")</f>
        <v>Low</v>
      </c>
      <c r="F946" s="3">
        <v>1</v>
      </c>
      <c r="G946" t="s">
        <v>13</v>
      </c>
      <c r="H946" t="s">
        <v>14</v>
      </c>
      <c r="I946" s="3" t="s">
        <v>15</v>
      </c>
      <c r="J946" s="3">
        <v>0</v>
      </c>
      <c r="K946" t="s">
        <v>22</v>
      </c>
      <c r="L946" t="s">
        <v>32</v>
      </c>
      <c r="M946" s="3">
        <v>34</v>
      </c>
      <c r="N946" s="3" t="str" cm="1">
        <f t="array" ref="N946">_xlfn.IFS(M946&gt;59, "Pension Age", M946&gt;44, "Elderly (45+)", M946&gt;29, "Middle Age (30+)", M946&gt;22, "Adult (23+)", M946&gt;15, "Teen/Young Adult (16+)")</f>
        <v>Middle Age (30+)</v>
      </c>
      <c r="O946" s="3" t="s">
        <v>15</v>
      </c>
    </row>
    <row r="947" spans="1:15" x14ac:dyDescent="0.3">
      <c r="A947" s="4">
        <v>25419</v>
      </c>
      <c r="B947" s="3" t="s">
        <v>40</v>
      </c>
      <c r="C947" s="3" t="s">
        <v>42</v>
      </c>
      <c r="D947" s="11">
        <v>50000</v>
      </c>
      <c r="E947" s="9" t="str" cm="1">
        <f t="array" ref="E947">_xlfn.IFS(D947&gt;149000, "Very High", D947&gt;99000, "High", D947&gt;59999, "Average", D947&gt;19999, "Low", D947&gt;0, "Poverty")</f>
        <v>Low</v>
      </c>
      <c r="F947" s="3">
        <v>2</v>
      </c>
      <c r="G947" t="s">
        <v>13</v>
      </c>
      <c r="H947" t="s">
        <v>14</v>
      </c>
      <c r="I947" s="3" t="s">
        <v>18</v>
      </c>
      <c r="J947" s="3">
        <v>1</v>
      </c>
      <c r="K947" t="s">
        <v>16</v>
      </c>
      <c r="L947" t="s">
        <v>32</v>
      </c>
      <c r="M947" s="3">
        <v>38</v>
      </c>
      <c r="N947" s="3" t="str" cm="1">
        <f t="array" ref="N947">_xlfn.IFS(M947&gt;59, "Pension Age", M947&gt;44, "Elderly (45+)", M947&gt;29, "Middle Age (30+)", M947&gt;22, "Adult (23+)", M947&gt;15, "Teen/Young Adult (16+)")</f>
        <v>Middle Age (30+)</v>
      </c>
      <c r="O947" s="3" t="s">
        <v>15</v>
      </c>
    </row>
    <row r="948" spans="1:15" x14ac:dyDescent="0.3">
      <c r="A948" s="4">
        <v>13343</v>
      </c>
      <c r="B948" s="3" t="s">
        <v>39</v>
      </c>
      <c r="C948" s="3" t="s">
        <v>41</v>
      </c>
      <c r="D948" s="11">
        <v>90000</v>
      </c>
      <c r="E948" s="9" t="str" cm="1">
        <f t="array" ref="E948">_xlfn.IFS(D948&gt;149000, "Very High", D948&gt;99000, "High", D948&gt;59999, "Average", D948&gt;19999, "Low", D948&gt;0, "Poverty")</f>
        <v>Average</v>
      </c>
      <c r="F948" s="3">
        <v>5</v>
      </c>
      <c r="G948" t="s">
        <v>13</v>
      </c>
      <c r="H948" t="s">
        <v>28</v>
      </c>
      <c r="I948" s="3" t="s">
        <v>15</v>
      </c>
      <c r="J948" s="3">
        <v>2</v>
      </c>
      <c r="K948" t="s">
        <v>26</v>
      </c>
      <c r="L948" t="s">
        <v>32</v>
      </c>
      <c r="M948" s="3">
        <v>63</v>
      </c>
      <c r="N948" s="3" t="str" cm="1">
        <f t="array" ref="N948">_xlfn.IFS(M948&gt;59, "Pension Age", M948&gt;44, "Elderly (45+)", M948&gt;29, "Middle Age (30+)", M948&gt;22, "Adult (23+)", M948&gt;15, "Teen/Young Adult (16+)")</f>
        <v>Pension Age</v>
      </c>
      <c r="O948" s="3" t="s">
        <v>15</v>
      </c>
    </row>
    <row r="949" spans="1:15" x14ac:dyDescent="0.3">
      <c r="A949" s="4">
        <v>11303</v>
      </c>
      <c r="B949" s="3" t="s">
        <v>40</v>
      </c>
      <c r="C949" s="3" t="s">
        <v>41</v>
      </c>
      <c r="D949" s="11">
        <v>90000</v>
      </c>
      <c r="E949" s="9" t="str" cm="1">
        <f t="array" ref="E949">_xlfn.IFS(D949&gt;149000, "Very High", D949&gt;99000, "High", D949&gt;59999, "Average", D949&gt;19999, "Low", D949&gt;0, "Poverty")</f>
        <v>Average</v>
      </c>
      <c r="F949" s="3">
        <v>4</v>
      </c>
      <c r="G949" t="s">
        <v>27</v>
      </c>
      <c r="H949" t="s">
        <v>21</v>
      </c>
      <c r="I949" s="3" t="s">
        <v>18</v>
      </c>
      <c r="J949" s="3">
        <v>3</v>
      </c>
      <c r="K949" t="s">
        <v>26</v>
      </c>
      <c r="L949" t="s">
        <v>32</v>
      </c>
      <c r="M949" s="3">
        <v>45</v>
      </c>
      <c r="N949" s="3" t="str" cm="1">
        <f t="array" ref="N949">_xlfn.IFS(M949&gt;59, "Pension Age", M949&gt;44, "Elderly (45+)", M949&gt;29, "Middle Age (30+)", M949&gt;22, "Adult (23+)", M949&gt;15, "Teen/Young Adult (16+)")</f>
        <v>Elderly (45+)</v>
      </c>
      <c r="O949" s="3" t="s">
        <v>15</v>
      </c>
    </row>
    <row r="950" spans="1:15" x14ac:dyDescent="0.3">
      <c r="A950" s="4">
        <v>21693</v>
      </c>
      <c r="B950" s="3" t="s">
        <v>40</v>
      </c>
      <c r="C950" s="3" t="s">
        <v>41</v>
      </c>
      <c r="D950" s="11">
        <v>60000</v>
      </c>
      <c r="E950" s="9" t="str" cm="1">
        <f t="array" ref="E950">_xlfn.IFS(D950&gt;149000, "Very High", D950&gt;99000, "High", D950&gt;59999, "Average", D950&gt;19999, "Low", D950&gt;0, "Poverty")</f>
        <v>Average</v>
      </c>
      <c r="F950" s="3">
        <v>0</v>
      </c>
      <c r="G950" t="s">
        <v>31</v>
      </c>
      <c r="H950" t="s">
        <v>14</v>
      </c>
      <c r="I950" s="3" t="s">
        <v>18</v>
      </c>
      <c r="J950" s="3">
        <v>0</v>
      </c>
      <c r="K950" t="s">
        <v>16</v>
      </c>
      <c r="L950" t="s">
        <v>32</v>
      </c>
      <c r="M950" s="3">
        <v>40</v>
      </c>
      <c r="N950" s="3" t="str" cm="1">
        <f t="array" ref="N950">_xlfn.IFS(M950&gt;59, "Pension Age", M950&gt;44, "Elderly (45+)", M950&gt;29, "Middle Age (30+)", M950&gt;22, "Adult (23+)", M950&gt;15, "Teen/Young Adult (16+)")</f>
        <v>Middle Age (30+)</v>
      </c>
      <c r="O950" s="3" t="s">
        <v>18</v>
      </c>
    </row>
    <row r="951" spans="1:15" x14ac:dyDescent="0.3">
      <c r="A951" s="4">
        <v>28056</v>
      </c>
      <c r="B951" s="3" t="s">
        <v>39</v>
      </c>
      <c r="C951" s="3" t="s">
        <v>42</v>
      </c>
      <c r="D951" s="11">
        <v>70000</v>
      </c>
      <c r="E951" s="9" t="str" cm="1">
        <f t="array" ref="E951">_xlfn.IFS(D951&gt;149000, "Very High", D951&gt;99000, "High", D951&gt;59999, "Average", D951&gt;19999, "Low", D951&gt;0, "Poverty")</f>
        <v>Average</v>
      </c>
      <c r="F951" s="3">
        <v>2</v>
      </c>
      <c r="G951" t="s">
        <v>29</v>
      </c>
      <c r="H951" t="s">
        <v>14</v>
      </c>
      <c r="I951" s="3" t="s">
        <v>15</v>
      </c>
      <c r="J951" s="3">
        <v>2</v>
      </c>
      <c r="K951" t="s">
        <v>30</v>
      </c>
      <c r="L951" t="s">
        <v>32</v>
      </c>
      <c r="M951" s="3">
        <v>53</v>
      </c>
      <c r="N951" s="3" t="str" cm="1">
        <f t="array" ref="N951">_xlfn.IFS(M951&gt;59, "Pension Age", M951&gt;44, "Elderly (45+)", M951&gt;29, "Middle Age (30+)", M951&gt;22, "Adult (23+)", M951&gt;15, "Teen/Young Adult (16+)")</f>
        <v>Elderly (45+)</v>
      </c>
      <c r="O951" s="3" t="s">
        <v>18</v>
      </c>
    </row>
    <row r="952" spans="1:15" x14ac:dyDescent="0.3">
      <c r="A952" s="4">
        <v>11788</v>
      </c>
      <c r="B952" s="3" t="s">
        <v>40</v>
      </c>
      <c r="C952" s="3" t="s">
        <v>41</v>
      </c>
      <c r="D952" s="11">
        <v>70000</v>
      </c>
      <c r="E952" s="9" t="str" cm="1">
        <f t="array" ref="E952">_xlfn.IFS(D952&gt;149000, "Very High", D952&gt;99000, "High", D952&gt;59999, "Average", D952&gt;19999, "Low", D952&gt;0, "Poverty")</f>
        <v>Average</v>
      </c>
      <c r="F952" s="3">
        <v>1</v>
      </c>
      <c r="G952" t="s">
        <v>31</v>
      </c>
      <c r="H952" t="s">
        <v>21</v>
      </c>
      <c r="I952" s="3" t="s">
        <v>15</v>
      </c>
      <c r="J952" s="3">
        <v>0</v>
      </c>
      <c r="K952" t="s">
        <v>22</v>
      </c>
      <c r="L952" t="s">
        <v>32</v>
      </c>
      <c r="M952" s="3">
        <v>34</v>
      </c>
      <c r="N952" s="3" t="str" cm="1">
        <f t="array" ref="N952">_xlfn.IFS(M952&gt;59, "Pension Age", M952&gt;44, "Elderly (45+)", M952&gt;29, "Middle Age (30+)", M952&gt;22, "Adult (23+)", M952&gt;15, "Teen/Young Adult (16+)")</f>
        <v>Middle Age (30+)</v>
      </c>
      <c r="O952" s="3" t="s">
        <v>18</v>
      </c>
    </row>
    <row r="953" spans="1:15" x14ac:dyDescent="0.3">
      <c r="A953" s="4">
        <v>22296</v>
      </c>
      <c r="B953" s="3" t="s">
        <v>39</v>
      </c>
      <c r="C953" s="3" t="s">
        <v>42</v>
      </c>
      <c r="D953" s="11">
        <v>70000</v>
      </c>
      <c r="E953" s="9" t="str" cm="1">
        <f t="array" ref="E953">_xlfn.IFS(D953&gt;149000, "Very High", D953&gt;99000, "High", D953&gt;59999, "Average", D953&gt;19999, "Low", D953&gt;0, "Poverty")</f>
        <v>Average</v>
      </c>
      <c r="F953" s="3">
        <v>0</v>
      </c>
      <c r="G953" t="s">
        <v>13</v>
      </c>
      <c r="H953" t="s">
        <v>21</v>
      </c>
      <c r="I953" s="3" t="s">
        <v>18</v>
      </c>
      <c r="J953" s="3">
        <v>1</v>
      </c>
      <c r="K953" t="s">
        <v>16</v>
      </c>
      <c r="L953" t="s">
        <v>32</v>
      </c>
      <c r="M953" s="3">
        <v>38</v>
      </c>
      <c r="N953" s="3" t="str" cm="1">
        <f t="array" ref="N953">_xlfn.IFS(M953&gt;59, "Pension Age", M953&gt;44, "Elderly (45+)", M953&gt;29, "Middle Age (30+)", M953&gt;22, "Adult (23+)", M953&gt;15, "Teen/Young Adult (16+)")</f>
        <v>Middle Age (30+)</v>
      </c>
      <c r="O953" s="3" t="s">
        <v>18</v>
      </c>
    </row>
    <row r="954" spans="1:15" x14ac:dyDescent="0.3">
      <c r="A954" s="4">
        <v>15319</v>
      </c>
      <c r="B954" s="3" t="s">
        <v>39</v>
      </c>
      <c r="C954" s="3" t="s">
        <v>41</v>
      </c>
      <c r="D954" s="11">
        <v>70000</v>
      </c>
      <c r="E954" s="9" t="str" cm="1">
        <f t="array" ref="E954">_xlfn.IFS(D954&gt;149000, "Very High", D954&gt;99000, "High", D954&gt;59999, "Average", D954&gt;19999, "Low", D954&gt;0, "Poverty")</f>
        <v>Average</v>
      </c>
      <c r="F954" s="3">
        <v>4</v>
      </c>
      <c r="G954" t="s">
        <v>13</v>
      </c>
      <c r="H954" t="s">
        <v>28</v>
      </c>
      <c r="I954" s="3" t="s">
        <v>18</v>
      </c>
      <c r="J954" s="3">
        <v>1</v>
      </c>
      <c r="K954" t="s">
        <v>26</v>
      </c>
      <c r="L954" t="s">
        <v>32</v>
      </c>
      <c r="M954" s="3">
        <v>59</v>
      </c>
      <c r="N954" s="3" t="str" cm="1">
        <f t="array" ref="N954">_xlfn.IFS(M954&gt;59, "Pension Age", M954&gt;44, "Elderly (45+)", M954&gt;29, "Middle Age (30+)", M954&gt;22, "Adult (23+)", M954&gt;15, "Teen/Young Adult (16+)")</f>
        <v>Elderly (45+)</v>
      </c>
      <c r="O954" s="3" t="s">
        <v>18</v>
      </c>
    </row>
    <row r="955" spans="1:15" x14ac:dyDescent="0.3">
      <c r="A955" s="4">
        <v>17654</v>
      </c>
      <c r="B955" s="3" t="s">
        <v>40</v>
      </c>
      <c r="C955" s="3" t="s">
        <v>41</v>
      </c>
      <c r="D955" s="11">
        <v>40000</v>
      </c>
      <c r="E955" s="9" t="str" cm="1">
        <f t="array" ref="E955">_xlfn.IFS(D955&gt;149000, "Very High", D955&gt;99000, "High", D955&gt;59999, "Average", D955&gt;19999, "Low", D955&gt;0, "Poverty")</f>
        <v>Low</v>
      </c>
      <c r="F955" s="3">
        <v>3</v>
      </c>
      <c r="G955" t="s">
        <v>19</v>
      </c>
      <c r="H955" t="s">
        <v>20</v>
      </c>
      <c r="I955" s="3" t="s">
        <v>15</v>
      </c>
      <c r="J955" s="3">
        <v>1</v>
      </c>
      <c r="K955" t="s">
        <v>26</v>
      </c>
      <c r="L955" t="s">
        <v>32</v>
      </c>
      <c r="M955" s="3">
        <v>30</v>
      </c>
      <c r="N955" s="3" t="str" cm="1">
        <f t="array" ref="N955">_xlfn.IFS(M955&gt;59, "Pension Age", M955&gt;44, "Elderly (45+)", M955&gt;29, "Middle Age (30+)", M955&gt;22, "Adult (23+)", M955&gt;15, "Teen/Young Adult (16+)")</f>
        <v>Middle Age (30+)</v>
      </c>
      <c r="O955" s="3" t="s">
        <v>15</v>
      </c>
    </row>
    <row r="956" spans="1:15" x14ac:dyDescent="0.3">
      <c r="A956" s="4">
        <v>14662</v>
      </c>
      <c r="B956" s="3" t="s">
        <v>39</v>
      </c>
      <c r="C956" s="3" t="s">
        <v>42</v>
      </c>
      <c r="D956" s="11">
        <v>60000</v>
      </c>
      <c r="E956" s="9" t="str" cm="1">
        <f t="array" ref="E956">_xlfn.IFS(D956&gt;149000, "Very High", D956&gt;99000, "High", D956&gt;59999, "Average", D956&gt;19999, "Low", D956&gt;0, "Poverty")</f>
        <v>Average</v>
      </c>
      <c r="F956" s="3">
        <v>1</v>
      </c>
      <c r="G956" t="s">
        <v>13</v>
      </c>
      <c r="H956" t="s">
        <v>21</v>
      </c>
      <c r="I956" s="3" t="s">
        <v>15</v>
      </c>
      <c r="J956" s="3">
        <v>1</v>
      </c>
      <c r="K956" t="s">
        <v>16</v>
      </c>
      <c r="L956" t="s">
        <v>32</v>
      </c>
      <c r="M956" s="3">
        <v>48</v>
      </c>
      <c r="N956" s="3" t="str" cm="1">
        <f t="array" ref="N956">_xlfn.IFS(M956&gt;59, "Pension Age", M956&gt;44, "Elderly (45+)", M956&gt;29, "Middle Age (30+)", M956&gt;22, "Adult (23+)", M956&gt;15, "Teen/Young Adult (16+)")</f>
        <v>Elderly (45+)</v>
      </c>
      <c r="O956" s="3" t="s">
        <v>15</v>
      </c>
    </row>
    <row r="957" spans="1:15" x14ac:dyDescent="0.3">
      <c r="A957" s="4">
        <v>17541</v>
      </c>
      <c r="B957" s="3" t="s">
        <v>39</v>
      </c>
      <c r="C957" s="3" t="s">
        <v>41</v>
      </c>
      <c r="D957" s="11">
        <v>40000</v>
      </c>
      <c r="E957" s="9" t="str" cm="1">
        <f t="array" ref="E957">_xlfn.IFS(D957&gt;149000, "Very High", D957&gt;99000, "High", D957&gt;59999, "Average", D957&gt;19999, "Low", D957&gt;0, "Poverty")</f>
        <v>Low</v>
      </c>
      <c r="F957" s="3">
        <v>4</v>
      </c>
      <c r="G957" t="s">
        <v>27</v>
      </c>
      <c r="H957" t="s">
        <v>14</v>
      </c>
      <c r="I957" s="3" t="s">
        <v>15</v>
      </c>
      <c r="J957" s="3">
        <v>2</v>
      </c>
      <c r="K957" t="s">
        <v>22</v>
      </c>
      <c r="L957" t="s">
        <v>32</v>
      </c>
      <c r="M957" s="3">
        <v>43</v>
      </c>
      <c r="N957" s="3" t="str" cm="1">
        <f t="array" ref="N957">_xlfn.IFS(M957&gt;59, "Pension Age", M957&gt;44, "Elderly (45+)", M957&gt;29, "Middle Age (30+)", M957&gt;22, "Adult (23+)", M957&gt;15, "Teen/Young Adult (16+)")</f>
        <v>Middle Age (30+)</v>
      </c>
      <c r="O957" s="3" t="s">
        <v>18</v>
      </c>
    </row>
    <row r="958" spans="1:15" x14ac:dyDescent="0.3">
      <c r="A958" s="4">
        <v>13886</v>
      </c>
      <c r="B958" s="3" t="s">
        <v>39</v>
      </c>
      <c r="C958" s="3" t="s">
        <v>41</v>
      </c>
      <c r="D958" s="11">
        <v>70000</v>
      </c>
      <c r="E958" s="9" t="str" cm="1">
        <f t="array" ref="E958">_xlfn.IFS(D958&gt;149000, "Very High", D958&gt;99000, "High", D958&gt;59999, "Average", D958&gt;19999, "Low", D958&gt;0, "Poverty")</f>
        <v>Average</v>
      </c>
      <c r="F958" s="3">
        <v>4</v>
      </c>
      <c r="G958" t="s">
        <v>31</v>
      </c>
      <c r="H958" t="s">
        <v>21</v>
      </c>
      <c r="I958" s="3" t="s">
        <v>15</v>
      </c>
      <c r="J958" s="3">
        <v>0</v>
      </c>
      <c r="K958" t="s">
        <v>22</v>
      </c>
      <c r="L958" t="s">
        <v>32</v>
      </c>
      <c r="M958" s="3">
        <v>35</v>
      </c>
      <c r="N958" s="3" t="str" cm="1">
        <f t="array" ref="N958">_xlfn.IFS(M958&gt;59, "Pension Age", M958&gt;44, "Elderly (45+)", M958&gt;29, "Middle Age (30+)", M958&gt;22, "Adult (23+)", M958&gt;15, "Teen/Young Adult (16+)")</f>
        <v>Middle Age (30+)</v>
      </c>
      <c r="O958" s="3" t="s">
        <v>15</v>
      </c>
    </row>
    <row r="959" spans="1:15" x14ac:dyDescent="0.3">
      <c r="A959" s="4">
        <v>13073</v>
      </c>
      <c r="B959" s="3" t="s">
        <v>39</v>
      </c>
      <c r="C959" s="3" t="s">
        <v>41</v>
      </c>
      <c r="D959" s="11">
        <v>60000</v>
      </c>
      <c r="E959" s="9" t="str" cm="1">
        <f t="array" ref="E959">_xlfn.IFS(D959&gt;149000, "Very High", D959&gt;99000, "High", D959&gt;59999, "Average", D959&gt;19999, "Low", D959&gt;0, "Poverty")</f>
        <v>Average</v>
      </c>
      <c r="F959" s="3">
        <v>0</v>
      </c>
      <c r="G959" t="s">
        <v>19</v>
      </c>
      <c r="H959" t="s">
        <v>21</v>
      </c>
      <c r="I959" s="3" t="s">
        <v>15</v>
      </c>
      <c r="J959" s="3">
        <v>2</v>
      </c>
      <c r="K959" t="s">
        <v>23</v>
      </c>
      <c r="L959" t="s">
        <v>32</v>
      </c>
      <c r="M959" s="3">
        <v>30</v>
      </c>
      <c r="N959" s="3" t="str" cm="1">
        <f t="array" ref="N959">_xlfn.IFS(M959&gt;59, "Pension Age", M959&gt;44, "Elderly (45+)", M959&gt;29, "Middle Age (30+)", M959&gt;22, "Adult (23+)", M959&gt;15, "Teen/Young Adult (16+)")</f>
        <v>Middle Age (30+)</v>
      </c>
      <c r="O959" s="3" t="s">
        <v>18</v>
      </c>
    </row>
    <row r="960" spans="1:15" x14ac:dyDescent="0.3">
      <c r="A960" s="4">
        <v>21940</v>
      </c>
      <c r="B960" s="3" t="s">
        <v>39</v>
      </c>
      <c r="C960" s="3" t="s">
        <v>42</v>
      </c>
      <c r="D960" s="11">
        <v>90000</v>
      </c>
      <c r="E960" s="9" t="str" cm="1">
        <f t="array" ref="E960">_xlfn.IFS(D960&gt;149000, "Very High", D960&gt;99000, "High", D960&gt;59999, "Average", D960&gt;19999, "Low", D960&gt;0, "Poverty")</f>
        <v>Average</v>
      </c>
      <c r="F960" s="3">
        <v>5</v>
      </c>
      <c r="G960" t="s">
        <v>31</v>
      </c>
      <c r="H960" t="s">
        <v>21</v>
      </c>
      <c r="I960" s="3" t="s">
        <v>15</v>
      </c>
      <c r="J960" s="3">
        <v>0</v>
      </c>
      <c r="K960" t="s">
        <v>16</v>
      </c>
      <c r="L960" t="s">
        <v>32</v>
      </c>
      <c r="M960" s="3">
        <v>47</v>
      </c>
      <c r="N960" s="3" t="str" cm="1">
        <f t="array" ref="N960">_xlfn.IFS(M960&gt;59, "Pension Age", M960&gt;44, "Elderly (45+)", M960&gt;29, "Middle Age (30+)", M960&gt;22, "Adult (23+)", M960&gt;15, "Teen/Young Adult (16+)")</f>
        <v>Elderly (45+)</v>
      </c>
      <c r="O960" s="3" t="s">
        <v>15</v>
      </c>
    </row>
    <row r="961" spans="1:15" x14ac:dyDescent="0.3">
      <c r="A961" s="4">
        <v>20196</v>
      </c>
      <c r="B961" s="3" t="s">
        <v>39</v>
      </c>
      <c r="C961" s="3" t="s">
        <v>42</v>
      </c>
      <c r="D961" s="11">
        <v>60000</v>
      </c>
      <c r="E961" s="9" t="str" cm="1">
        <f t="array" ref="E961">_xlfn.IFS(D961&gt;149000, "Very High", D961&gt;99000, "High", D961&gt;59999, "Average", D961&gt;19999, "Low", D961&gt;0, "Poverty")</f>
        <v>Average</v>
      </c>
      <c r="F961" s="3">
        <v>1</v>
      </c>
      <c r="G961" t="s">
        <v>19</v>
      </c>
      <c r="H961" t="s">
        <v>14</v>
      </c>
      <c r="I961" s="3" t="s">
        <v>15</v>
      </c>
      <c r="J961" s="3">
        <v>1</v>
      </c>
      <c r="K961" t="s">
        <v>22</v>
      </c>
      <c r="L961" t="s">
        <v>32</v>
      </c>
      <c r="M961" s="3">
        <v>45</v>
      </c>
      <c r="N961" s="3" t="str" cm="1">
        <f t="array" ref="N961">_xlfn.IFS(M961&gt;59, "Pension Age", M961&gt;44, "Elderly (45+)", M961&gt;29, "Middle Age (30+)", M961&gt;22, "Adult (23+)", M961&gt;15, "Teen/Young Adult (16+)")</f>
        <v>Elderly (45+)</v>
      </c>
      <c r="O961" s="3" t="s">
        <v>15</v>
      </c>
    </row>
    <row r="962" spans="1:15" x14ac:dyDescent="0.3">
      <c r="A962" s="4">
        <v>23491</v>
      </c>
      <c r="B962" s="3" t="s">
        <v>40</v>
      </c>
      <c r="C962" s="3" t="s">
        <v>42</v>
      </c>
      <c r="D962" s="11">
        <v>100000</v>
      </c>
      <c r="E962" s="9" t="str" cm="1">
        <f t="array" ref="E962">_xlfn.IFS(D962&gt;149000, "Very High", D962&gt;99000, "High", D962&gt;59999, "Average", D962&gt;19999, "Low", D962&gt;0, "Poverty")</f>
        <v>High</v>
      </c>
      <c r="F962" s="3">
        <v>0</v>
      </c>
      <c r="G962" t="s">
        <v>19</v>
      </c>
      <c r="H962" t="s">
        <v>21</v>
      </c>
      <c r="I962" s="3" t="s">
        <v>18</v>
      </c>
      <c r="J962" s="3">
        <v>4</v>
      </c>
      <c r="K962" t="s">
        <v>26</v>
      </c>
      <c r="L962" t="s">
        <v>32</v>
      </c>
      <c r="M962" s="3">
        <v>45</v>
      </c>
      <c r="N962" s="3" t="str" cm="1">
        <f t="array" ref="N962">_xlfn.IFS(M962&gt;59, "Pension Age", M962&gt;44, "Elderly (45+)", M962&gt;29, "Middle Age (30+)", M962&gt;22, "Adult (23+)", M962&gt;15, "Teen/Young Adult (16+)")</f>
        <v>Elderly (45+)</v>
      </c>
      <c r="O962" s="3" t="s">
        <v>18</v>
      </c>
    </row>
    <row r="963" spans="1:15" x14ac:dyDescent="0.3">
      <c r="A963" s="4">
        <v>16651</v>
      </c>
      <c r="B963" s="3" t="s">
        <v>39</v>
      </c>
      <c r="C963" s="3" t="s">
        <v>41</v>
      </c>
      <c r="D963" s="11">
        <v>120000</v>
      </c>
      <c r="E963" s="9" t="str" cm="1">
        <f t="array" ref="E963">_xlfn.IFS(D963&gt;149000, "Very High", D963&gt;99000, "High", D963&gt;59999, "Average", D963&gt;19999, "Low", D963&gt;0, "Poverty")</f>
        <v>High</v>
      </c>
      <c r="F963" s="3">
        <v>2</v>
      </c>
      <c r="G963" t="s">
        <v>13</v>
      </c>
      <c r="H963" t="s">
        <v>28</v>
      </c>
      <c r="I963" s="3" t="s">
        <v>15</v>
      </c>
      <c r="J963" s="3">
        <v>3</v>
      </c>
      <c r="K963" t="s">
        <v>23</v>
      </c>
      <c r="L963" t="s">
        <v>32</v>
      </c>
      <c r="M963" s="3">
        <v>62</v>
      </c>
      <c r="N963" s="3" t="str" cm="1">
        <f t="array" ref="N963">_xlfn.IFS(M963&gt;59, "Pension Age", M963&gt;44, "Elderly (45+)", M963&gt;29, "Middle Age (30+)", M963&gt;22, "Adult (23+)", M963&gt;15, "Teen/Young Adult (16+)")</f>
        <v>Pension Age</v>
      </c>
      <c r="O963" s="3" t="s">
        <v>18</v>
      </c>
    </row>
    <row r="964" spans="1:15" x14ac:dyDescent="0.3">
      <c r="A964" s="4">
        <v>16813</v>
      </c>
      <c r="B964" s="3" t="s">
        <v>39</v>
      </c>
      <c r="C964" s="3" t="s">
        <v>42</v>
      </c>
      <c r="D964" s="11">
        <v>60000</v>
      </c>
      <c r="E964" s="9" t="str" cm="1">
        <f t="array" ref="E964">_xlfn.IFS(D964&gt;149000, "Very High", D964&gt;99000, "High", D964&gt;59999, "Average", D964&gt;19999, "Low", D964&gt;0, "Poverty")</f>
        <v>Average</v>
      </c>
      <c r="F964" s="3">
        <v>2</v>
      </c>
      <c r="G964" t="s">
        <v>19</v>
      </c>
      <c r="H964" t="s">
        <v>21</v>
      </c>
      <c r="I964" s="3" t="s">
        <v>15</v>
      </c>
      <c r="J964" s="3">
        <v>2</v>
      </c>
      <c r="K964" t="s">
        <v>30</v>
      </c>
      <c r="L964" t="s">
        <v>32</v>
      </c>
      <c r="M964" s="3">
        <v>55</v>
      </c>
      <c r="N964" s="3" t="str" cm="1">
        <f t="array" ref="N964">_xlfn.IFS(M964&gt;59, "Pension Age", M964&gt;44, "Elderly (45+)", M964&gt;29, "Middle Age (30+)", M964&gt;22, "Adult (23+)", M964&gt;15, "Teen/Young Adult (16+)")</f>
        <v>Elderly (45+)</v>
      </c>
      <c r="O964" s="3" t="s">
        <v>18</v>
      </c>
    </row>
    <row r="965" spans="1:15" x14ac:dyDescent="0.3">
      <c r="A965" s="4">
        <v>16007</v>
      </c>
      <c r="B965" s="3" t="s">
        <v>39</v>
      </c>
      <c r="C965" s="3" t="s">
        <v>41</v>
      </c>
      <c r="D965" s="11">
        <v>90000</v>
      </c>
      <c r="E965" s="9" t="str" cm="1">
        <f t="array" ref="E965">_xlfn.IFS(D965&gt;149000, "Very High", D965&gt;99000, "High", D965&gt;59999, "Average", D965&gt;19999, "Low", D965&gt;0, "Poverty")</f>
        <v>Average</v>
      </c>
      <c r="F965" s="3">
        <v>5</v>
      </c>
      <c r="G965" t="s">
        <v>13</v>
      </c>
      <c r="H965" t="s">
        <v>28</v>
      </c>
      <c r="I965" s="3" t="s">
        <v>15</v>
      </c>
      <c r="J965" s="3">
        <v>2</v>
      </c>
      <c r="K965" t="s">
        <v>26</v>
      </c>
      <c r="L965" t="s">
        <v>32</v>
      </c>
      <c r="M965" s="3">
        <v>66</v>
      </c>
      <c r="N965" s="3" t="str" cm="1">
        <f t="array" ref="N965">_xlfn.IFS(M965&gt;59, "Pension Age", M965&gt;44, "Elderly (45+)", M965&gt;29, "Middle Age (30+)", M965&gt;22, "Adult (23+)", M965&gt;15, "Teen/Young Adult (16+)")</f>
        <v>Pension Age</v>
      </c>
      <c r="O965" s="3" t="s">
        <v>15</v>
      </c>
    </row>
    <row r="966" spans="1:15" x14ac:dyDescent="0.3">
      <c r="A966" s="4">
        <v>27434</v>
      </c>
      <c r="B966" s="3" t="s">
        <v>40</v>
      </c>
      <c r="C966" s="3" t="s">
        <v>42</v>
      </c>
      <c r="D966" s="11">
        <v>70000</v>
      </c>
      <c r="E966" s="9" t="str" cm="1">
        <f t="array" ref="E966">_xlfn.IFS(D966&gt;149000, "Very High", D966&gt;99000, "High", D966&gt;59999, "Average", D966&gt;19999, "Low", D966&gt;0, "Poverty")</f>
        <v>Average</v>
      </c>
      <c r="F966" s="3">
        <v>4</v>
      </c>
      <c r="G966" t="s">
        <v>19</v>
      </c>
      <c r="H966" t="s">
        <v>21</v>
      </c>
      <c r="I966" s="3" t="s">
        <v>15</v>
      </c>
      <c r="J966" s="3">
        <v>1</v>
      </c>
      <c r="K966" t="s">
        <v>30</v>
      </c>
      <c r="L966" t="s">
        <v>32</v>
      </c>
      <c r="M966" s="3">
        <v>56</v>
      </c>
      <c r="N966" s="3" t="str" cm="1">
        <f t="array" ref="N966">_xlfn.IFS(M966&gt;59, "Pension Age", M966&gt;44, "Elderly (45+)", M966&gt;29, "Middle Age (30+)", M966&gt;22, "Adult (23+)", M966&gt;15, "Teen/Young Adult (16+)")</f>
        <v>Elderly (45+)</v>
      </c>
      <c r="O966" s="3" t="s">
        <v>18</v>
      </c>
    </row>
    <row r="967" spans="1:15" x14ac:dyDescent="0.3">
      <c r="A967" s="4">
        <v>27756</v>
      </c>
      <c r="B967" s="3" t="s">
        <v>40</v>
      </c>
      <c r="C967" s="3" t="s">
        <v>41</v>
      </c>
      <c r="D967" s="11">
        <v>50000</v>
      </c>
      <c r="E967" s="9" t="str" cm="1">
        <f t="array" ref="E967">_xlfn.IFS(D967&gt;149000, "Very High", D967&gt;99000, "High", D967&gt;59999, "Average", D967&gt;19999, "Low", D967&gt;0, "Poverty")</f>
        <v>Low</v>
      </c>
      <c r="F967" s="3">
        <v>3</v>
      </c>
      <c r="G967" t="s">
        <v>13</v>
      </c>
      <c r="H967" t="s">
        <v>14</v>
      </c>
      <c r="I967" s="3" t="s">
        <v>18</v>
      </c>
      <c r="J967" s="3">
        <v>1</v>
      </c>
      <c r="K967" t="s">
        <v>16</v>
      </c>
      <c r="L967" t="s">
        <v>32</v>
      </c>
      <c r="M967" s="3">
        <v>40</v>
      </c>
      <c r="N967" s="3" t="str" cm="1">
        <f t="array" ref="N967">_xlfn.IFS(M967&gt;59, "Pension Age", M967&gt;44, "Elderly (45+)", M967&gt;29, "Middle Age (30+)", M967&gt;22, "Adult (23+)", M967&gt;15, "Teen/Young Adult (16+)")</f>
        <v>Middle Age (30+)</v>
      </c>
      <c r="O967" s="3" t="s">
        <v>18</v>
      </c>
    </row>
    <row r="968" spans="1:15" x14ac:dyDescent="0.3">
      <c r="A968" s="4">
        <v>23818</v>
      </c>
      <c r="B968" s="3" t="s">
        <v>39</v>
      </c>
      <c r="C968" s="3" t="s">
        <v>41</v>
      </c>
      <c r="D968" s="11">
        <v>50000</v>
      </c>
      <c r="E968" s="9" t="str" cm="1">
        <f t="array" ref="E968">_xlfn.IFS(D968&gt;149000, "Very High", D968&gt;99000, "High", D968&gt;59999, "Average", D968&gt;19999, "Low", D968&gt;0, "Poverty")</f>
        <v>Low</v>
      </c>
      <c r="F968" s="3">
        <v>0</v>
      </c>
      <c r="G968" t="s">
        <v>31</v>
      </c>
      <c r="H968" t="s">
        <v>14</v>
      </c>
      <c r="I968" s="3" t="s">
        <v>15</v>
      </c>
      <c r="J968" s="3">
        <v>0</v>
      </c>
      <c r="K968" t="s">
        <v>26</v>
      </c>
      <c r="L968" t="s">
        <v>32</v>
      </c>
      <c r="M968" s="3">
        <v>33</v>
      </c>
      <c r="N968" s="3" t="str" cm="1">
        <f t="array" ref="N968">_xlfn.IFS(M968&gt;59, "Pension Age", M968&gt;44, "Elderly (45+)", M968&gt;29, "Middle Age (30+)", M968&gt;22, "Adult (23+)", M968&gt;15, "Teen/Young Adult (16+)")</f>
        <v>Middle Age (30+)</v>
      </c>
      <c r="O968" s="3" t="s">
        <v>15</v>
      </c>
    </row>
    <row r="969" spans="1:15" x14ac:dyDescent="0.3">
      <c r="A969" s="4">
        <v>19012</v>
      </c>
      <c r="B969" s="3" t="s">
        <v>39</v>
      </c>
      <c r="C969" s="3" t="s">
        <v>42</v>
      </c>
      <c r="D969" s="11">
        <v>80000</v>
      </c>
      <c r="E969" s="9" t="str" cm="1">
        <f t="array" ref="E969">_xlfn.IFS(D969&gt;149000, "Very High", D969&gt;99000, "High", D969&gt;59999, "Average", D969&gt;19999, "Low", D969&gt;0, "Poverty")</f>
        <v>Average</v>
      </c>
      <c r="F969" s="3">
        <v>3</v>
      </c>
      <c r="G969" t="s">
        <v>13</v>
      </c>
      <c r="H969" t="s">
        <v>28</v>
      </c>
      <c r="I969" s="3" t="s">
        <v>15</v>
      </c>
      <c r="J969" s="3">
        <v>1</v>
      </c>
      <c r="K969" t="s">
        <v>26</v>
      </c>
      <c r="L969" t="s">
        <v>32</v>
      </c>
      <c r="M969" s="3">
        <v>56</v>
      </c>
      <c r="N969" s="3" t="str" cm="1">
        <f t="array" ref="N969">_xlfn.IFS(M969&gt;59, "Pension Age", M969&gt;44, "Elderly (45+)", M969&gt;29, "Middle Age (30+)", M969&gt;22, "Adult (23+)", M969&gt;15, "Teen/Young Adult (16+)")</f>
        <v>Elderly (45+)</v>
      </c>
      <c r="O969" s="3" t="s">
        <v>18</v>
      </c>
    </row>
    <row r="970" spans="1:15" x14ac:dyDescent="0.3">
      <c r="A970" s="4">
        <v>18329</v>
      </c>
      <c r="B970" s="3" t="s">
        <v>40</v>
      </c>
      <c r="C970" s="3" t="s">
        <v>42</v>
      </c>
      <c r="D970" s="11">
        <v>30000</v>
      </c>
      <c r="E970" s="9" t="str" cm="1">
        <f t="array" ref="E970">_xlfn.IFS(D970&gt;149000, "Very High", D970&gt;99000, "High", D970&gt;59999, "Average", D970&gt;19999, "Low", D970&gt;0, "Poverty")</f>
        <v>Low</v>
      </c>
      <c r="F970" s="3">
        <v>0</v>
      </c>
      <c r="G970" t="s">
        <v>29</v>
      </c>
      <c r="H970" t="s">
        <v>20</v>
      </c>
      <c r="I970" s="3" t="s">
        <v>18</v>
      </c>
      <c r="J970" s="3">
        <v>2</v>
      </c>
      <c r="K970" t="s">
        <v>23</v>
      </c>
      <c r="L970" t="s">
        <v>32</v>
      </c>
      <c r="M970" s="3">
        <v>27</v>
      </c>
      <c r="N970" s="3" t="str" cm="1">
        <f t="array" ref="N970">_xlfn.IFS(M970&gt;59, "Pension Age", M970&gt;44, "Elderly (45+)", M970&gt;29, "Middle Age (30+)", M970&gt;22, "Adult (23+)", M970&gt;15, "Teen/Young Adult (16+)")</f>
        <v>Adult (23+)</v>
      </c>
      <c r="O970" s="3" t="s">
        <v>18</v>
      </c>
    </row>
    <row r="971" spans="1:15" x14ac:dyDescent="0.3">
      <c r="A971" s="4">
        <v>29037</v>
      </c>
      <c r="B971" s="3" t="s">
        <v>39</v>
      </c>
      <c r="C971" s="3" t="s">
        <v>42</v>
      </c>
      <c r="D971" s="11">
        <v>60000</v>
      </c>
      <c r="E971" s="9" t="str" cm="1">
        <f t="array" ref="E971">_xlfn.IFS(D971&gt;149000, "Very High", D971&gt;99000, "High", D971&gt;59999, "Average", D971&gt;19999, "Low", D971&gt;0, "Poverty")</f>
        <v>Average</v>
      </c>
      <c r="F971" s="3">
        <v>0</v>
      </c>
      <c r="G971" t="s">
        <v>31</v>
      </c>
      <c r="H971" t="s">
        <v>21</v>
      </c>
      <c r="I971" s="3" t="s">
        <v>18</v>
      </c>
      <c r="J971" s="3">
        <v>0</v>
      </c>
      <c r="K971" t="s">
        <v>16</v>
      </c>
      <c r="L971" t="s">
        <v>32</v>
      </c>
      <c r="M971" s="3">
        <v>39</v>
      </c>
      <c r="N971" s="3" t="str" cm="1">
        <f t="array" ref="N971">_xlfn.IFS(M971&gt;59, "Pension Age", M971&gt;44, "Elderly (45+)", M971&gt;29, "Middle Age (30+)", M971&gt;22, "Adult (23+)", M971&gt;15, "Teen/Young Adult (16+)")</f>
        <v>Middle Age (30+)</v>
      </c>
      <c r="O971" s="3" t="s">
        <v>18</v>
      </c>
    </row>
    <row r="972" spans="1:15" x14ac:dyDescent="0.3">
      <c r="A972" s="4">
        <v>26576</v>
      </c>
      <c r="B972" s="3" t="s">
        <v>39</v>
      </c>
      <c r="C972" s="3" t="s">
        <v>41</v>
      </c>
      <c r="D972" s="11">
        <v>60000</v>
      </c>
      <c r="E972" s="9" t="str" cm="1">
        <f t="array" ref="E972">_xlfn.IFS(D972&gt;149000, "Very High", D972&gt;99000, "High", D972&gt;59999, "Average", D972&gt;19999, "Low", D972&gt;0, "Poverty")</f>
        <v>Average</v>
      </c>
      <c r="F972" s="3">
        <v>0</v>
      </c>
      <c r="G972" t="s">
        <v>19</v>
      </c>
      <c r="H972" t="s">
        <v>14</v>
      </c>
      <c r="I972" s="3" t="s">
        <v>15</v>
      </c>
      <c r="J972" s="3">
        <v>2</v>
      </c>
      <c r="K972" t="s">
        <v>23</v>
      </c>
      <c r="L972" t="s">
        <v>32</v>
      </c>
      <c r="M972" s="3">
        <v>31</v>
      </c>
      <c r="N972" s="3" t="str" cm="1">
        <f t="array" ref="N972">_xlfn.IFS(M972&gt;59, "Pension Age", M972&gt;44, "Elderly (45+)", M972&gt;29, "Middle Age (30+)", M972&gt;22, "Adult (23+)", M972&gt;15, "Teen/Young Adult (16+)")</f>
        <v>Middle Age (30+)</v>
      </c>
      <c r="O972" s="3" t="s">
        <v>18</v>
      </c>
    </row>
    <row r="973" spans="1:15" x14ac:dyDescent="0.3">
      <c r="A973" s="4">
        <v>12192</v>
      </c>
      <c r="B973" s="3" t="s">
        <v>40</v>
      </c>
      <c r="C973" s="3" t="s">
        <v>41</v>
      </c>
      <c r="D973" s="11">
        <v>60000</v>
      </c>
      <c r="E973" s="9" t="str" cm="1">
        <f t="array" ref="E973">_xlfn.IFS(D973&gt;149000, "Very High", D973&gt;99000, "High", D973&gt;59999, "Average", D973&gt;19999, "Low", D973&gt;0, "Poverty")</f>
        <v>Average</v>
      </c>
      <c r="F973" s="3">
        <v>2</v>
      </c>
      <c r="G973" t="s">
        <v>29</v>
      </c>
      <c r="H973" t="s">
        <v>14</v>
      </c>
      <c r="I973" s="3" t="s">
        <v>18</v>
      </c>
      <c r="J973" s="3">
        <v>2</v>
      </c>
      <c r="K973" t="s">
        <v>26</v>
      </c>
      <c r="L973" t="s">
        <v>32</v>
      </c>
      <c r="M973" s="3">
        <v>51</v>
      </c>
      <c r="N973" s="3" t="str" cm="1">
        <f t="array" ref="N973">_xlfn.IFS(M973&gt;59, "Pension Age", M973&gt;44, "Elderly (45+)", M973&gt;29, "Middle Age (30+)", M973&gt;22, "Adult (23+)", M973&gt;15, "Teen/Young Adult (16+)")</f>
        <v>Elderly (45+)</v>
      </c>
      <c r="O973" s="3" t="s">
        <v>18</v>
      </c>
    </row>
    <row r="974" spans="1:15" x14ac:dyDescent="0.3">
      <c r="A974" s="4">
        <v>14887</v>
      </c>
      <c r="B974" s="3" t="s">
        <v>39</v>
      </c>
      <c r="C974" s="3" t="s">
        <v>41</v>
      </c>
      <c r="D974" s="11">
        <v>30000</v>
      </c>
      <c r="E974" s="9" t="str" cm="1">
        <f t="array" ref="E974">_xlfn.IFS(D974&gt;149000, "Very High", D974&gt;99000, "High", D974&gt;59999, "Average", D974&gt;19999, "Low", D974&gt;0, "Poverty")</f>
        <v>Low</v>
      </c>
      <c r="F974" s="3">
        <v>1</v>
      </c>
      <c r="G974" t="s">
        <v>27</v>
      </c>
      <c r="H974" t="s">
        <v>20</v>
      </c>
      <c r="I974" s="3" t="s">
        <v>15</v>
      </c>
      <c r="J974" s="3">
        <v>1</v>
      </c>
      <c r="K974" t="s">
        <v>23</v>
      </c>
      <c r="L974" t="s">
        <v>32</v>
      </c>
      <c r="M974" s="3">
        <v>52</v>
      </c>
      <c r="N974" s="3" t="str" cm="1">
        <f t="array" ref="N974">_xlfn.IFS(M974&gt;59, "Pension Age", M974&gt;44, "Elderly (45+)", M974&gt;29, "Middle Age (30+)", M974&gt;22, "Adult (23+)", M974&gt;15, "Teen/Young Adult (16+)")</f>
        <v>Elderly (45+)</v>
      </c>
      <c r="O974" s="3" t="s">
        <v>18</v>
      </c>
    </row>
    <row r="975" spans="1:15" x14ac:dyDescent="0.3">
      <c r="A975" s="4">
        <v>11734</v>
      </c>
      <c r="B975" s="3" t="s">
        <v>39</v>
      </c>
      <c r="C975" s="3" t="s">
        <v>42</v>
      </c>
      <c r="D975" s="11">
        <v>60000</v>
      </c>
      <c r="E975" s="9" t="str" cm="1">
        <f t="array" ref="E975">_xlfn.IFS(D975&gt;149000, "Very High", D975&gt;99000, "High", D975&gt;59999, "Average", D975&gt;19999, "Low", D975&gt;0, "Poverty")</f>
        <v>Average</v>
      </c>
      <c r="F975" s="3">
        <v>1</v>
      </c>
      <c r="G975" t="s">
        <v>19</v>
      </c>
      <c r="H975" t="s">
        <v>14</v>
      </c>
      <c r="I975" s="3" t="s">
        <v>18</v>
      </c>
      <c r="J975" s="3">
        <v>1</v>
      </c>
      <c r="K975" t="s">
        <v>16</v>
      </c>
      <c r="L975" t="s">
        <v>32</v>
      </c>
      <c r="M975" s="3">
        <v>47</v>
      </c>
      <c r="N975" s="3" t="str" cm="1">
        <f t="array" ref="N975">_xlfn.IFS(M975&gt;59, "Pension Age", M975&gt;44, "Elderly (45+)", M975&gt;29, "Middle Age (30+)", M975&gt;22, "Adult (23+)", M975&gt;15, "Teen/Young Adult (16+)")</f>
        <v>Elderly (45+)</v>
      </c>
      <c r="O975" s="3" t="s">
        <v>18</v>
      </c>
    </row>
    <row r="976" spans="1:15" x14ac:dyDescent="0.3">
      <c r="A976" s="4">
        <v>17462</v>
      </c>
      <c r="B976" s="3" t="s">
        <v>39</v>
      </c>
      <c r="C976" s="3" t="s">
        <v>42</v>
      </c>
      <c r="D976" s="11">
        <v>70000</v>
      </c>
      <c r="E976" s="9" t="str" cm="1">
        <f t="array" ref="E976">_xlfn.IFS(D976&gt;149000, "Very High", D976&gt;99000, "High", D976&gt;59999, "Average", D976&gt;19999, "Low", D976&gt;0, "Poverty")</f>
        <v>Average</v>
      </c>
      <c r="F976" s="3">
        <v>3</v>
      </c>
      <c r="G976" t="s">
        <v>31</v>
      </c>
      <c r="H976" t="s">
        <v>28</v>
      </c>
      <c r="I976" s="3" t="s">
        <v>15</v>
      </c>
      <c r="J976" s="3">
        <v>2</v>
      </c>
      <c r="K976" t="s">
        <v>23</v>
      </c>
      <c r="L976" t="s">
        <v>32</v>
      </c>
      <c r="M976" s="3">
        <v>53</v>
      </c>
      <c r="N976" s="3" t="str" cm="1">
        <f t="array" ref="N976">_xlfn.IFS(M976&gt;59, "Pension Age", M976&gt;44, "Elderly (45+)", M976&gt;29, "Middle Age (30+)", M976&gt;22, "Adult (23+)", M976&gt;15, "Teen/Young Adult (16+)")</f>
        <v>Elderly (45+)</v>
      </c>
      <c r="O976" s="3" t="s">
        <v>15</v>
      </c>
    </row>
    <row r="977" spans="1:15" x14ac:dyDescent="0.3">
      <c r="A977" s="4">
        <v>20659</v>
      </c>
      <c r="B977" s="3" t="s">
        <v>39</v>
      </c>
      <c r="C977" s="3" t="s">
        <v>42</v>
      </c>
      <c r="D977" s="11">
        <v>70000</v>
      </c>
      <c r="E977" s="9" t="str" cm="1">
        <f t="array" ref="E977">_xlfn.IFS(D977&gt;149000, "Very High", D977&gt;99000, "High", D977&gt;59999, "Average", D977&gt;19999, "Low", D977&gt;0, "Poverty")</f>
        <v>Average</v>
      </c>
      <c r="F977" s="3">
        <v>3</v>
      </c>
      <c r="G977" t="s">
        <v>31</v>
      </c>
      <c r="H977" t="s">
        <v>21</v>
      </c>
      <c r="I977" s="3" t="s">
        <v>15</v>
      </c>
      <c r="J977" s="3">
        <v>0</v>
      </c>
      <c r="K977" t="s">
        <v>16</v>
      </c>
      <c r="L977" t="s">
        <v>32</v>
      </c>
      <c r="M977" s="3">
        <v>35</v>
      </c>
      <c r="N977" s="3" t="str" cm="1">
        <f t="array" ref="N977">_xlfn.IFS(M977&gt;59, "Pension Age", M977&gt;44, "Elderly (45+)", M977&gt;29, "Middle Age (30+)", M977&gt;22, "Adult (23+)", M977&gt;15, "Teen/Young Adult (16+)")</f>
        <v>Middle Age (30+)</v>
      </c>
      <c r="O977" s="3" t="s">
        <v>15</v>
      </c>
    </row>
    <row r="978" spans="1:15" x14ac:dyDescent="0.3">
      <c r="A978" s="4">
        <v>28004</v>
      </c>
      <c r="B978" s="3" t="s">
        <v>39</v>
      </c>
      <c r="C978" s="3" t="s">
        <v>41</v>
      </c>
      <c r="D978" s="11">
        <v>60000</v>
      </c>
      <c r="E978" s="9" t="str" cm="1">
        <f t="array" ref="E978">_xlfn.IFS(D978&gt;149000, "Very High", D978&gt;99000, "High", D978&gt;59999, "Average", D978&gt;19999, "Low", D978&gt;0, "Poverty")</f>
        <v>Average</v>
      </c>
      <c r="F978" s="3">
        <v>3</v>
      </c>
      <c r="G978" t="s">
        <v>13</v>
      </c>
      <c r="H978" t="s">
        <v>28</v>
      </c>
      <c r="I978" s="3" t="s">
        <v>15</v>
      </c>
      <c r="J978" s="3">
        <v>2</v>
      </c>
      <c r="K978" t="s">
        <v>30</v>
      </c>
      <c r="L978" t="s">
        <v>32</v>
      </c>
      <c r="M978" s="3">
        <v>66</v>
      </c>
      <c r="N978" s="3" t="str" cm="1">
        <f t="array" ref="N978">_xlfn.IFS(M978&gt;59, "Pension Age", M978&gt;44, "Elderly (45+)", M978&gt;29, "Middle Age (30+)", M978&gt;22, "Adult (23+)", M978&gt;15, "Teen/Young Adult (16+)")</f>
        <v>Pension Age</v>
      </c>
      <c r="O978" s="3" t="s">
        <v>18</v>
      </c>
    </row>
    <row r="979" spans="1:15" x14ac:dyDescent="0.3">
      <c r="A979" s="4">
        <v>19741</v>
      </c>
      <c r="B979" s="3" t="s">
        <v>40</v>
      </c>
      <c r="C979" s="3" t="s">
        <v>41</v>
      </c>
      <c r="D979" s="11">
        <v>80000</v>
      </c>
      <c r="E979" s="9" t="str" cm="1">
        <f t="array" ref="E979">_xlfn.IFS(D979&gt;149000, "Very High", D979&gt;99000, "High", D979&gt;59999, "Average", D979&gt;19999, "Low", D979&gt;0, "Poverty")</f>
        <v>Average</v>
      </c>
      <c r="F979" s="3">
        <v>4</v>
      </c>
      <c r="G979" t="s">
        <v>31</v>
      </c>
      <c r="H979" t="s">
        <v>28</v>
      </c>
      <c r="I979" s="3" t="s">
        <v>15</v>
      </c>
      <c r="J979" s="3">
        <v>2</v>
      </c>
      <c r="K979" t="s">
        <v>23</v>
      </c>
      <c r="L979" t="s">
        <v>32</v>
      </c>
      <c r="M979" s="3">
        <v>65</v>
      </c>
      <c r="N979" s="3" t="str" cm="1">
        <f t="array" ref="N979">_xlfn.IFS(M979&gt;59, "Pension Age", M979&gt;44, "Elderly (45+)", M979&gt;29, "Middle Age (30+)", M979&gt;22, "Adult (23+)", M979&gt;15, "Teen/Young Adult (16+)")</f>
        <v>Pension Age</v>
      </c>
      <c r="O979" s="3" t="s">
        <v>18</v>
      </c>
    </row>
    <row r="980" spans="1:15" x14ac:dyDescent="0.3">
      <c r="A980" s="4">
        <v>17450</v>
      </c>
      <c r="B980" s="3" t="s">
        <v>39</v>
      </c>
      <c r="C980" s="3" t="s">
        <v>42</v>
      </c>
      <c r="D980" s="11">
        <v>80000</v>
      </c>
      <c r="E980" s="9" t="str" cm="1">
        <f t="array" ref="E980">_xlfn.IFS(D980&gt;149000, "Very High", D980&gt;99000, "High", D980&gt;59999, "Average", D980&gt;19999, "Low", D980&gt;0, "Poverty")</f>
        <v>Average</v>
      </c>
      <c r="F980" s="3">
        <v>5</v>
      </c>
      <c r="G980" t="s">
        <v>19</v>
      </c>
      <c r="H980" t="s">
        <v>21</v>
      </c>
      <c r="I980" s="3" t="s">
        <v>15</v>
      </c>
      <c r="J980" s="3">
        <v>3</v>
      </c>
      <c r="K980" t="s">
        <v>23</v>
      </c>
      <c r="L980" t="s">
        <v>32</v>
      </c>
      <c r="M980" s="3">
        <v>45</v>
      </c>
      <c r="N980" s="3" t="str" cm="1">
        <f t="array" ref="N980">_xlfn.IFS(M980&gt;59, "Pension Age", M980&gt;44, "Elderly (45+)", M980&gt;29, "Middle Age (30+)", M980&gt;22, "Adult (23+)", M980&gt;15, "Teen/Young Adult (16+)")</f>
        <v>Elderly (45+)</v>
      </c>
      <c r="O980" s="3" t="s">
        <v>18</v>
      </c>
    </row>
    <row r="981" spans="1:15" x14ac:dyDescent="0.3">
      <c r="A981" s="4">
        <v>17337</v>
      </c>
      <c r="B981" s="3" t="s">
        <v>40</v>
      </c>
      <c r="C981" s="3" t="s">
        <v>42</v>
      </c>
      <c r="D981" s="11">
        <v>40000</v>
      </c>
      <c r="E981" s="9" t="str" cm="1">
        <f t="array" ref="E981">_xlfn.IFS(D981&gt;149000, "Very High", D981&gt;99000, "High", D981&gt;59999, "Average", D981&gt;19999, "Low", D981&gt;0, "Poverty")</f>
        <v>Low</v>
      </c>
      <c r="F981" s="3">
        <v>0</v>
      </c>
      <c r="G981" t="s">
        <v>27</v>
      </c>
      <c r="H981" t="s">
        <v>14</v>
      </c>
      <c r="I981" s="3" t="s">
        <v>15</v>
      </c>
      <c r="J981" s="3">
        <v>1</v>
      </c>
      <c r="K981" t="s">
        <v>23</v>
      </c>
      <c r="L981" t="s">
        <v>32</v>
      </c>
      <c r="M981" s="3">
        <v>31</v>
      </c>
      <c r="N981" s="3" t="str" cm="1">
        <f t="array" ref="N981">_xlfn.IFS(M981&gt;59, "Pension Age", M981&gt;44, "Elderly (45+)", M981&gt;29, "Middle Age (30+)", M981&gt;22, "Adult (23+)", M981&gt;15, "Teen/Young Adult (16+)")</f>
        <v>Middle Age (30+)</v>
      </c>
      <c r="O981" s="3" t="s">
        <v>18</v>
      </c>
    </row>
    <row r="982" spans="1:15" x14ac:dyDescent="0.3">
      <c r="A982" s="4">
        <v>18594</v>
      </c>
      <c r="B982" s="3" t="s">
        <v>40</v>
      </c>
      <c r="C982" s="3" t="s">
        <v>41</v>
      </c>
      <c r="D982" s="11">
        <v>80000</v>
      </c>
      <c r="E982" s="9" t="str" cm="1">
        <f t="array" ref="E982">_xlfn.IFS(D982&gt;149000, "Very High", D982&gt;99000, "High", D982&gt;59999, "Average", D982&gt;19999, "Low", D982&gt;0, "Poverty")</f>
        <v>Average</v>
      </c>
      <c r="F982" s="3">
        <v>3</v>
      </c>
      <c r="G982" t="s">
        <v>13</v>
      </c>
      <c r="H982" t="s">
        <v>14</v>
      </c>
      <c r="I982" s="3" t="s">
        <v>15</v>
      </c>
      <c r="J982" s="3">
        <v>3</v>
      </c>
      <c r="K982" t="s">
        <v>30</v>
      </c>
      <c r="L982" t="s">
        <v>32</v>
      </c>
      <c r="M982" s="3">
        <v>40</v>
      </c>
      <c r="N982" s="3" t="str" cm="1">
        <f t="array" ref="N982">_xlfn.IFS(M982&gt;59, "Pension Age", M982&gt;44, "Elderly (45+)", M982&gt;29, "Middle Age (30+)", M982&gt;22, "Adult (23+)", M982&gt;15, "Teen/Young Adult (16+)")</f>
        <v>Middle Age (30+)</v>
      </c>
      <c r="O982" s="3" t="s">
        <v>15</v>
      </c>
    </row>
    <row r="983" spans="1:15" x14ac:dyDescent="0.3">
      <c r="A983" s="4">
        <v>15982</v>
      </c>
      <c r="B983" s="3" t="s">
        <v>39</v>
      </c>
      <c r="C983" s="3" t="s">
        <v>42</v>
      </c>
      <c r="D983" s="11">
        <v>110000</v>
      </c>
      <c r="E983" s="9" t="str" cm="1">
        <f t="array" ref="E983">_xlfn.IFS(D983&gt;149000, "Very High", D983&gt;99000, "High", D983&gt;59999, "Average", D983&gt;19999, "Low", D983&gt;0, "Poverty")</f>
        <v>High</v>
      </c>
      <c r="F983" s="3">
        <v>5</v>
      </c>
      <c r="G983" t="s">
        <v>19</v>
      </c>
      <c r="H983" t="s">
        <v>21</v>
      </c>
      <c r="I983" s="3" t="s">
        <v>15</v>
      </c>
      <c r="J983" s="3">
        <v>4</v>
      </c>
      <c r="K983" t="s">
        <v>22</v>
      </c>
      <c r="L983" t="s">
        <v>32</v>
      </c>
      <c r="M983" s="3">
        <v>46</v>
      </c>
      <c r="N983" s="3" t="str" cm="1">
        <f t="array" ref="N983">_xlfn.IFS(M983&gt;59, "Pension Age", M983&gt;44, "Elderly (45+)", M983&gt;29, "Middle Age (30+)", M983&gt;22, "Adult (23+)", M983&gt;15, "Teen/Young Adult (16+)")</f>
        <v>Elderly (45+)</v>
      </c>
      <c r="O983" s="3" t="s">
        <v>18</v>
      </c>
    </row>
    <row r="984" spans="1:15" x14ac:dyDescent="0.3">
      <c r="A984" s="4">
        <v>28625</v>
      </c>
      <c r="B984" s="3" t="s">
        <v>40</v>
      </c>
      <c r="C984" s="3" t="s">
        <v>42</v>
      </c>
      <c r="D984" s="11">
        <v>40000</v>
      </c>
      <c r="E984" s="9" t="str" cm="1">
        <f t="array" ref="E984">_xlfn.IFS(D984&gt;149000, "Very High", D984&gt;99000, "High", D984&gt;59999, "Average", D984&gt;19999, "Low", D984&gt;0, "Poverty")</f>
        <v>Low</v>
      </c>
      <c r="F984" s="3">
        <v>2</v>
      </c>
      <c r="G984" t="s">
        <v>19</v>
      </c>
      <c r="H984" t="s">
        <v>20</v>
      </c>
      <c r="I984" s="3" t="s">
        <v>18</v>
      </c>
      <c r="J984" s="3">
        <v>1</v>
      </c>
      <c r="K984" t="s">
        <v>26</v>
      </c>
      <c r="L984" t="s">
        <v>32</v>
      </c>
      <c r="M984" s="3">
        <v>47</v>
      </c>
      <c r="N984" s="3" t="str" cm="1">
        <f t="array" ref="N984">_xlfn.IFS(M984&gt;59, "Pension Age", M984&gt;44, "Elderly (45+)", M984&gt;29, "Middle Age (30+)", M984&gt;22, "Adult (23+)", M984&gt;15, "Teen/Young Adult (16+)")</f>
        <v>Elderly (45+)</v>
      </c>
      <c r="O984" s="3" t="s">
        <v>15</v>
      </c>
    </row>
    <row r="985" spans="1:15" x14ac:dyDescent="0.3">
      <c r="A985" s="4">
        <v>11269</v>
      </c>
      <c r="B985" s="3" t="s">
        <v>39</v>
      </c>
      <c r="C985" s="3" t="s">
        <v>42</v>
      </c>
      <c r="D985" s="11">
        <v>130000</v>
      </c>
      <c r="E985" s="9" t="str" cm="1">
        <f t="array" ref="E985">_xlfn.IFS(D985&gt;149000, "Very High", D985&gt;99000, "High", D985&gt;59999, "Average", D985&gt;19999, "Low", D985&gt;0, "Poverty")</f>
        <v>High</v>
      </c>
      <c r="F985" s="3">
        <v>2</v>
      </c>
      <c r="G985" t="s">
        <v>31</v>
      </c>
      <c r="H985" t="s">
        <v>28</v>
      </c>
      <c r="I985" s="3" t="s">
        <v>15</v>
      </c>
      <c r="J985" s="3">
        <v>2</v>
      </c>
      <c r="K985" t="s">
        <v>16</v>
      </c>
      <c r="L985" t="s">
        <v>32</v>
      </c>
      <c r="M985" s="3">
        <v>41</v>
      </c>
      <c r="N985" s="3" t="str" cm="1">
        <f t="array" ref="N985">_xlfn.IFS(M985&gt;59, "Pension Age", M985&gt;44, "Elderly (45+)", M985&gt;29, "Middle Age (30+)", M985&gt;22, "Adult (23+)", M985&gt;15, "Teen/Young Adult (16+)")</f>
        <v>Middle Age (30+)</v>
      </c>
      <c r="O985" s="3" t="s">
        <v>18</v>
      </c>
    </row>
    <row r="986" spans="1:15" x14ac:dyDescent="0.3">
      <c r="A986" s="4">
        <v>25148</v>
      </c>
      <c r="B986" s="3" t="s">
        <v>39</v>
      </c>
      <c r="C986" s="3" t="s">
        <v>42</v>
      </c>
      <c r="D986" s="11">
        <v>60000</v>
      </c>
      <c r="E986" s="9" t="str" cm="1">
        <f t="array" ref="E986">_xlfn.IFS(D986&gt;149000, "Very High", D986&gt;99000, "High", D986&gt;59999, "Average", D986&gt;19999, "Low", D986&gt;0, "Poverty")</f>
        <v>Average</v>
      </c>
      <c r="F986" s="3">
        <v>2</v>
      </c>
      <c r="G986" t="s">
        <v>27</v>
      </c>
      <c r="H986" t="s">
        <v>21</v>
      </c>
      <c r="I986" s="3" t="s">
        <v>18</v>
      </c>
      <c r="J986" s="3">
        <v>2</v>
      </c>
      <c r="K986" t="s">
        <v>26</v>
      </c>
      <c r="L986" t="s">
        <v>32</v>
      </c>
      <c r="M986" s="3">
        <v>48</v>
      </c>
      <c r="N986" s="3" t="str" cm="1">
        <f t="array" ref="N986">_xlfn.IFS(M986&gt;59, "Pension Age", M986&gt;44, "Elderly (45+)", M986&gt;29, "Middle Age (30+)", M986&gt;22, "Adult (23+)", M986&gt;15, "Teen/Young Adult (16+)")</f>
        <v>Elderly (45+)</v>
      </c>
      <c r="O986" s="3" t="s">
        <v>15</v>
      </c>
    </row>
    <row r="987" spans="1:15" x14ac:dyDescent="0.3">
      <c r="A987" s="4">
        <v>13920</v>
      </c>
      <c r="B987" s="3" t="s">
        <v>40</v>
      </c>
      <c r="C987" s="3" t="s">
        <v>41</v>
      </c>
      <c r="D987" s="11">
        <v>50000</v>
      </c>
      <c r="E987" s="9" t="str" cm="1">
        <f t="array" ref="E987">_xlfn.IFS(D987&gt;149000, "Very High", D987&gt;99000, "High", D987&gt;59999, "Average", D987&gt;19999, "Low", D987&gt;0, "Poverty")</f>
        <v>Low</v>
      </c>
      <c r="F987" s="3">
        <v>4</v>
      </c>
      <c r="G987" t="s">
        <v>13</v>
      </c>
      <c r="H987" t="s">
        <v>14</v>
      </c>
      <c r="I987" s="3" t="s">
        <v>15</v>
      </c>
      <c r="J987" s="3">
        <v>2</v>
      </c>
      <c r="K987" t="s">
        <v>16</v>
      </c>
      <c r="L987" t="s">
        <v>32</v>
      </c>
      <c r="M987" s="3">
        <v>42</v>
      </c>
      <c r="N987" s="3" t="str" cm="1">
        <f t="array" ref="N987">_xlfn.IFS(M987&gt;59, "Pension Age", M987&gt;44, "Elderly (45+)", M987&gt;29, "Middle Age (30+)", M987&gt;22, "Adult (23+)", M987&gt;15, "Teen/Young Adult (16+)")</f>
        <v>Middle Age (30+)</v>
      </c>
      <c r="O987" s="3" t="s">
        <v>18</v>
      </c>
    </row>
    <row r="988" spans="1:15" x14ac:dyDescent="0.3">
      <c r="A988" s="4">
        <v>23704</v>
      </c>
      <c r="B988" s="3" t="s">
        <v>40</v>
      </c>
      <c r="C988" s="3" t="s">
        <v>42</v>
      </c>
      <c r="D988" s="11">
        <v>40000</v>
      </c>
      <c r="E988" s="9" t="str" cm="1">
        <f t="array" ref="E988">_xlfn.IFS(D988&gt;149000, "Very High", D988&gt;99000, "High", D988&gt;59999, "Average", D988&gt;19999, "Low", D988&gt;0, "Poverty")</f>
        <v>Low</v>
      </c>
      <c r="F988" s="3">
        <v>5</v>
      </c>
      <c r="G988" t="s">
        <v>27</v>
      </c>
      <c r="H988" t="s">
        <v>21</v>
      </c>
      <c r="I988" s="3" t="s">
        <v>15</v>
      </c>
      <c r="J988" s="3">
        <v>4</v>
      </c>
      <c r="K988" t="s">
        <v>30</v>
      </c>
      <c r="L988" t="s">
        <v>32</v>
      </c>
      <c r="M988" s="3">
        <v>60</v>
      </c>
      <c r="N988" s="3" t="str" cm="1">
        <f t="array" ref="N988">_xlfn.IFS(M988&gt;59, "Pension Age", M988&gt;44, "Elderly (45+)", M988&gt;29, "Middle Age (30+)", M988&gt;22, "Adult (23+)", M988&gt;15, "Teen/Young Adult (16+)")</f>
        <v>Pension Age</v>
      </c>
      <c r="O988" s="3" t="s">
        <v>15</v>
      </c>
    </row>
    <row r="989" spans="1:15" x14ac:dyDescent="0.3">
      <c r="A989" s="4">
        <v>28972</v>
      </c>
      <c r="B989" s="3" t="s">
        <v>40</v>
      </c>
      <c r="C989" s="3" t="s">
        <v>41</v>
      </c>
      <c r="D989" s="11">
        <v>60000</v>
      </c>
      <c r="E989" s="9" t="str" cm="1">
        <f t="array" ref="E989">_xlfn.IFS(D989&gt;149000, "Very High", D989&gt;99000, "High", D989&gt;59999, "Average", D989&gt;19999, "Low", D989&gt;0, "Poverty")</f>
        <v>Average</v>
      </c>
      <c r="F989" s="3">
        <v>3</v>
      </c>
      <c r="G989" t="s">
        <v>31</v>
      </c>
      <c r="H989" t="s">
        <v>28</v>
      </c>
      <c r="I989" s="3" t="s">
        <v>15</v>
      </c>
      <c r="J989" s="3">
        <v>2</v>
      </c>
      <c r="K989" t="s">
        <v>30</v>
      </c>
      <c r="L989" t="s">
        <v>32</v>
      </c>
      <c r="M989" s="3">
        <v>66</v>
      </c>
      <c r="N989" s="3" t="str" cm="1">
        <f t="array" ref="N989">_xlfn.IFS(M989&gt;59, "Pension Age", M989&gt;44, "Elderly (45+)", M989&gt;29, "Middle Age (30+)", M989&gt;22, "Adult (23+)", M989&gt;15, "Teen/Young Adult (16+)")</f>
        <v>Pension Age</v>
      </c>
      <c r="O989" s="3" t="s">
        <v>18</v>
      </c>
    </row>
    <row r="990" spans="1:15" x14ac:dyDescent="0.3">
      <c r="A990" s="4">
        <v>22730</v>
      </c>
      <c r="B990" s="3" t="s">
        <v>39</v>
      </c>
      <c r="C990" s="3" t="s">
        <v>42</v>
      </c>
      <c r="D990" s="11">
        <v>70000</v>
      </c>
      <c r="E990" s="9" t="str" cm="1">
        <f t="array" ref="E990">_xlfn.IFS(D990&gt;149000, "Very High", D990&gt;99000, "High", D990&gt;59999, "Average", D990&gt;19999, "Low", D990&gt;0, "Poverty")</f>
        <v>Average</v>
      </c>
      <c r="F990" s="3">
        <v>5</v>
      </c>
      <c r="G990" t="s">
        <v>13</v>
      </c>
      <c r="H990" t="s">
        <v>28</v>
      </c>
      <c r="I990" s="3" t="s">
        <v>15</v>
      </c>
      <c r="J990" s="3">
        <v>2</v>
      </c>
      <c r="K990" t="s">
        <v>30</v>
      </c>
      <c r="L990" t="s">
        <v>32</v>
      </c>
      <c r="M990" s="3">
        <v>63</v>
      </c>
      <c r="N990" s="3" t="str" cm="1">
        <f t="array" ref="N990">_xlfn.IFS(M990&gt;59, "Pension Age", M990&gt;44, "Elderly (45+)", M990&gt;29, "Middle Age (30+)", M990&gt;22, "Adult (23+)", M990&gt;15, "Teen/Young Adult (16+)")</f>
        <v>Pension Age</v>
      </c>
      <c r="O990" s="3" t="s">
        <v>18</v>
      </c>
    </row>
    <row r="991" spans="1:15" x14ac:dyDescent="0.3">
      <c r="A991" s="4">
        <v>29134</v>
      </c>
      <c r="B991" s="3" t="s">
        <v>39</v>
      </c>
      <c r="C991" s="3" t="s">
        <v>42</v>
      </c>
      <c r="D991" s="11">
        <v>60000</v>
      </c>
      <c r="E991" s="9" t="str" cm="1">
        <f t="array" ref="E991">_xlfn.IFS(D991&gt;149000, "Very High", D991&gt;99000, "High", D991&gt;59999, "Average", D991&gt;19999, "Low", D991&gt;0, "Poverty")</f>
        <v>Average</v>
      </c>
      <c r="F991" s="3">
        <v>4</v>
      </c>
      <c r="G991" t="s">
        <v>13</v>
      </c>
      <c r="H991" t="s">
        <v>14</v>
      </c>
      <c r="I991" s="3" t="s">
        <v>18</v>
      </c>
      <c r="J991" s="3">
        <v>3</v>
      </c>
      <c r="K991" t="s">
        <v>30</v>
      </c>
      <c r="L991" t="s">
        <v>32</v>
      </c>
      <c r="M991" s="3">
        <v>42</v>
      </c>
      <c r="N991" s="3" t="str" cm="1">
        <f t="array" ref="N991">_xlfn.IFS(M991&gt;59, "Pension Age", M991&gt;44, "Elderly (45+)", M991&gt;29, "Middle Age (30+)", M991&gt;22, "Adult (23+)", M991&gt;15, "Teen/Young Adult (16+)")</f>
        <v>Middle Age (30+)</v>
      </c>
      <c r="O991" s="3" t="s">
        <v>18</v>
      </c>
    </row>
    <row r="992" spans="1:15" x14ac:dyDescent="0.3">
      <c r="A992" s="4">
        <v>14332</v>
      </c>
      <c r="B992" s="3" t="s">
        <v>40</v>
      </c>
      <c r="C992" s="3" t="s">
        <v>41</v>
      </c>
      <c r="D992" s="11">
        <v>30000</v>
      </c>
      <c r="E992" s="9" t="str" cm="1">
        <f t="array" ref="E992">_xlfn.IFS(D992&gt;149000, "Very High", D992&gt;99000, "High", D992&gt;59999, "Average", D992&gt;19999, "Low", D992&gt;0, "Poverty")</f>
        <v>Low</v>
      </c>
      <c r="F992" s="3">
        <v>0</v>
      </c>
      <c r="G992" t="s">
        <v>27</v>
      </c>
      <c r="H992" t="s">
        <v>14</v>
      </c>
      <c r="I992" s="3" t="s">
        <v>18</v>
      </c>
      <c r="J992" s="3">
        <v>2</v>
      </c>
      <c r="K992" t="s">
        <v>23</v>
      </c>
      <c r="L992" t="s">
        <v>32</v>
      </c>
      <c r="M992" s="3">
        <v>26</v>
      </c>
      <c r="N992" s="3" t="str" cm="1">
        <f t="array" ref="N992">_xlfn.IFS(M992&gt;59, "Pension Age", M992&gt;44, "Elderly (45+)", M992&gt;29, "Middle Age (30+)", M992&gt;22, "Adult (23+)", M992&gt;15, "Teen/Young Adult (16+)")</f>
        <v>Adult (23+)</v>
      </c>
      <c r="O992" s="3" t="s">
        <v>18</v>
      </c>
    </row>
    <row r="993" spans="1:15" x14ac:dyDescent="0.3">
      <c r="A993" s="4">
        <v>19117</v>
      </c>
      <c r="B993" s="3" t="s">
        <v>40</v>
      </c>
      <c r="C993" s="3" t="s">
        <v>41</v>
      </c>
      <c r="D993" s="11">
        <v>60000</v>
      </c>
      <c r="E993" s="9" t="str" cm="1">
        <f t="array" ref="E993">_xlfn.IFS(D993&gt;149000, "Very High", D993&gt;99000, "High", D993&gt;59999, "Average", D993&gt;19999, "Low", D993&gt;0, "Poverty")</f>
        <v>Average</v>
      </c>
      <c r="F993" s="3">
        <v>1</v>
      </c>
      <c r="G993" t="s">
        <v>31</v>
      </c>
      <c r="H993" t="s">
        <v>21</v>
      </c>
      <c r="I993" s="3" t="s">
        <v>15</v>
      </c>
      <c r="J993" s="3">
        <v>0</v>
      </c>
      <c r="K993" t="s">
        <v>22</v>
      </c>
      <c r="L993" t="s">
        <v>32</v>
      </c>
      <c r="M993" s="3">
        <v>36</v>
      </c>
      <c r="N993" s="3" t="str" cm="1">
        <f t="array" ref="N993">_xlfn.IFS(M993&gt;59, "Pension Age", M993&gt;44, "Elderly (45+)", M993&gt;29, "Middle Age (30+)", M993&gt;22, "Adult (23+)", M993&gt;15, "Teen/Young Adult (16+)")</f>
        <v>Middle Age (30+)</v>
      </c>
      <c r="O993" s="3" t="s">
        <v>15</v>
      </c>
    </row>
    <row r="994" spans="1:15" x14ac:dyDescent="0.3">
      <c r="A994" s="4">
        <v>22864</v>
      </c>
      <c r="B994" s="3" t="s">
        <v>39</v>
      </c>
      <c r="C994" s="3" t="s">
        <v>42</v>
      </c>
      <c r="D994" s="11">
        <v>90000</v>
      </c>
      <c r="E994" s="9" t="str" cm="1">
        <f t="array" ref="E994">_xlfn.IFS(D994&gt;149000, "Very High", D994&gt;99000, "High", D994&gt;59999, "Average", D994&gt;19999, "Low", D994&gt;0, "Poverty")</f>
        <v>Average</v>
      </c>
      <c r="F994" s="3">
        <v>2</v>
      </c>
      <c r="G994" t="s">
        <v>19</v>
      </c>
      <c r="H994" t="s">
        <v>21</v>
      </c>
      <c r="I994" s="3" t="s">
        <v>18</v>
      </c>
      <c r="J994" s="3">
        <v>0</v>
      </c>
      <c r="K994" t="s">
        <v>23</v>
      </c>
      <c r="L994" t="s">
        <v>32</v>
      </c>
      <c r="M994" s="3">
        <v>49</v>
      </c>
      <c r="N994" s="3" t="str" cm="1">
        <f t="array" ref="N994">_xlfn.IFS(M994&gt;59, "Pension Age", M994&gt;44, "Elderly (45+)", M994&gt;29, "Middle Age (30+)", M994&gt;22, "Adult (23+)", M994&gt;15, "Teen/Young Adult (16+)")</f>
        <v>Elderly (45+)</v>
      </c>
      <c r="O994" s="3" t="s">
        <v>15</v>
      </c>
    </row>
    <row r="995" spans="1:15" x14ac:dyDescent="0.3">
      <c r="A995" s="4">
        <v>11292</v>
      </c>
      <c r="B995" s="3" t="s">
        <v>40</v>
      </c>
      <c r="C995" s="3" t="s">
        <v>42</v>
      </c>
      <c r="D995" s="11">
        <v>150000</v>
      </c>
      <c r="E995" s="9" t="str" cm="1">
        <f t="array" ref="E995">_xlfn.IFS(D995&gt;149000, "Very High", D995&gt;99000, "High", D995&gt;59999, "Average", D995&gt;19999, "Low", D995&gt;0, "Poverty")</f>
        <v>Very High</v>
      </c>
      <c r="F995" s="3">
        <v>1</v>
      </c>
      <c r="G995" t="s">
        <v>19</v>
      </c>
      <c r="H995" t="s">
        <v>21</v>
      </c>
      <c r="I995" s="3" t="s">
        <v>18</v>
      </c>
      <c r="J995" s="3">
        <v>3</v>
      </c>
      <c r="K995" t="s">
        <v>16</v>
      </c>
      <c r="L995" t="s">
        <v>32</v>
      </c>
      <c r="M995" s="3">
        <v>44</v>
      </c>
      <c r="N995" s="3" t="str" cm="1">
        <f t="array" ref="N995">_xlfn.IFS(M995&gt;59, "Pension Age", M995&gt;44, "Elderly (45+)", M995&gt;29, "Middle Age (30+)", M995&gt;22, "Adult (23+)", M995&gt;15, "Teen/Young Adult (16+)")</f>
        <v>Middle Age (30+)</v>
      </c>
      <c r="O995" s="3" t="s">
        <v>15</v>
      </c>
    </row>
    <row r="996" spans="1:15" x14ac:dyDescent="0.3">
      <c r="A996" s="4">
        <v>13466</v>
      </c>
      <c r="B996" s="3" t="s">
        <v>39</v>
      </c>
      <c r="C996" s="3" t="s">
        <v>42</v>
      </c>
      <c r="D996" s="11">
        <v>80000</v>
      </c>
      <c r="E996" s="9" t="str" cm="1">
        <f t="array" ref="E996">_xlfn.IFS(D996&gt;149000, "Very High", D996&gt;99000, "High", D996&gt;59999, "Average", D996&gt;19999, "Low", D996&gt;0, "Poverty")</f>
        <v>Average</v>
      </c>
      <c r="F996" s="3">
        <v>5</v>
      </c>
      <c r="G996" t="s">
        <v>19</v>
      </c>
      <c r="H996" t="s">
        <v>21</v>
      </c>
      <c r="I996" s="3" t="s">
        <v>15</v>
      </c>
      <c r="J996" s="3">
        <v>3</v>
      </c>
      <c r="K996" t="s">
        <v>26</v>
      </c>
      <c r="L996" t="s">
        <v>32</v>
      </c>
      <c r="M996" s="3">
        <v>46</v>
      </c>
      <c r="N996" s="3" t="str" cm="1">
        <f t="array" ref="N996">_xlfn.IFS(M996&gt;59, "Pension Age", M996&gt;44, "Elderly (45+)", M996&gt;29, "Middle Age (30+)", M996&gt;22, "Adult (23+)", M996&gt;15, "Teen/Young Adult (16+)")</f>
        <v>Elderly (45+)</v>
      </c>
      <c r="O996" s="3" t="s">
        <v>18</v>
      </c>
    </row>
    <row r="997" spans="1:15" x14ac:dyDescent="0.3">
      <c r="A997" s="4">
        <v>23731</v>
      </c>
      <c r="B997" s="3" t="s">
        <v>39</v>
      </c>
      <c r="C997" s="3" t="s">
        <v>42</v>
      </c>
      <c r="D997" s="11">
        <v>60000</v>
      </c>
      <c r="E997" s="9" t="str" cm="1">
        <f t="array" ref="E997">_xlfn.IFS(D997&gt;149000, "Very High", D997&gt;99000, "High", D997&gt;59999, "Average", D997&gt;19999, "Low", D997&gt;0, "Poverty")</f>
        <v>Average</v>
      </c>
      <c r="F997" s="5">
        <v>2</v>
      </c>
      <c r="G997" t="s">
        <v>27</v>
      </c>
      <c r="H997" t="s">
        <v>21</v>
      </c>
      <c r="I997" s="3" t="s">
        <v>15</v>
      </c>
      <c r="J997" s="3">
        <v>2</v>
      </c>
      <c r="K997" t="s">
        <v>22</v>
      </c>
      <c r="L997" t="s">
        <v>32</v>
      </c>
      <c r="M997" s="3">
        <v>54</v>
      </c>
      <c r="N997" s="3" t="str" cm="1">
        <f t="array" ref="N997">_xlfn.IFS(M997&gt;59, "Pension Age", M997&gt;44, "Elderly (45+)", M997&gt;29, "Middle Age (30+)", M997&gt;22, "Adult (23+)", M997&gt;15, "Teen/Young Adult (16+)")</f>
        <v>Elderly (45+)</v>
      </c>
      <c r="O997" s="3" t="s">
        <v>15</v>
      </c>
    </row>
    <row r="998" spans="1:15" x14ac:dyDescent="0.3">
      <c r="A998" s="4">
        <v>28672</v>
      </c>
      <c r="B998" s="3" t="s">
        <v>40</v>
      </c>
      <c r="C998" s="3" t="s">
        <v>42</v>
      </c>
      <c r="D998" s="11">
        <v>70000</v>
      </c>
      <c r="E998" s="9" t="str" cm="1">
        <f t="array" ref="E998">_xlfn.IFS(D998&gt;149000, "Very High", D998&gt;99000, "High", D998&gt;59999, "Average", D998&gt;19999, "Low", D998&gt;0, "Poverty")</f>
        <v>Average</v>
      </c>
      <c r="F998" s="3">
        <v>4</v>
      </c>
      <c r="G998" t="s">
        <v>31</v>
      </c>
      <c r="H998" t="s">
        <v>21</v>
      </c>
      <c r="I998" s="3" t="s">
        <v>15</v>
      </c>
      <c r="J998" s="3">
        <v>0</v>
      </c>
      <c r="K998" t="s">
        <v>22</v>
      </c>
      <c r="L998" t="s">
        <v>32</v>
      </c>
      <c r="M998" s="3">
        <v>35</v>
      </c>
      <c r="N998" s="3" t="str" cm="1">
        <f t="array" ref="N998">_xlfn.IFS(M998&gt;59, "Pension Age", M998&gt;44, "Elderly (45+)", M998&gt;29, "Middle Age (30+)", M998&gt;22, "Adult (23+)", M998&gt;15, "Teen/Young Adult (16+)")</f>
        <v>Middle Age (30+)</v>
      </c>
      <c r="O998" s="3" t="s">
        <v>15</v>
      </c>
    </row>
    <row r="999" spans="1:15" x14ac:dyDescent="0.3">
      <c r="A999" s="4">
        <v>11809</v>
      </c>
      <c r="B999" s="3" t="s">
        <v>39</v>
      </c>
      <c r="C999" s="3" t="s">
        <v>42</v>
      </c>
      <c r="D999" s="11">
        <v>60000</v>
      </c>
      <c r="E999" s="9" t="str" cm="1">
        <f t="array" ref="E999">_xlfn.IFS(D999&gt;149000, "Very High", D999&gt;99000, "High", D999&gt;59999, "Average", D999&gt;19999, "Low", D999&gt;0, "Poverty")</f>
        <v>Average</v>
      </c>
      <c r="F999" s="3">
        <v>2</v>
      </c>
      <c r="G999" t="s">
        <v>13</v>
      </c>
      <c r="H999" t="s">
        <v>14</v>
      </c>
      <c r="I999" s="3" t="s">
        <v>15</v>
      </c>
      <c r="J999" s="3">
        <v>0</v>
      </c>
      <c r="K999" t="s">
        <v>16</v>
      </c>
      <c r="L999" t="s">
        <v>32</v>
      </c>
      <c r="M999" s="3">
        <v>38</v>
      </c>
      <c r="N999" s="3" t="str" cm="1">
        <f t="array" ref="N999">_xlfn.IFS(M999&gt;59, "Pension Age", M999&gt;44, "Elderly (45+)", M999&gt;29, "Middle Age (30+)", M999&gt;22, "Adult (23+)", M999&gt;15, "Teen/Young Adult (16+)")</f>
        <v>Middle Age (30+)</v>
      </c>
      <c r="O999" s="3" t="s">
        <v>15</v>
      </c>
    </row>
    <row r="1000" spans="1:15" x14ac:dyDescent="0.3">
      <c r="A1000" s="4">
        <v>19664</v>
      </c>
      <c r="B1000" s="3" t="s">
        <v>40</v>
      </c>
      <c r="C1000" s="3" t="s">
        <v>42</v>
      </c>
      <c r="D1000" s="11">
        <v>100000</v>
      </c>
      <c r="E1000" s="9" t="str" cm="1">
        <f t="array" ref="E1000">_xlfn.IFS(D1000&gt;149000, "Very High", D1000&gt;99000, "High", D1000&gt;59999, "Average", D1000&gt;19999, "Low", D1000&gt;0, "Poverty")</f>
        <v>High</v>
      </c>
      <c r="F1000" s="3">
        <v>3</v>
      </c>
      <c r="G1000" t="s">
        <v>13</v>
      </c>
      <c r="H1000" t="s">
        <v>28</v>
      </c>
      <c r="I1000" s="3" t="s">
        <v>18</v>
      </c>
      <c r="J1000" s="3">
        <v>3</v>
      </c>
      <c r="K1000" t="s">
        <v>26</v>
      </c>
      <c r="L1000" t="s">
        <v>32</v>
      </c>
      <c r="M1000" s="3">
        <v>38</v>
      </c>
      <c r="N1000" s="3" t="str" cm="1">
        <f t="array" ref="N1000">_xlfn.IFS(M1000&gt;59, "Pension Age", M1000&gt;44, "Elderly (45+)", M1000&gt;29, "Middle Age (30+)", M1000&gt;22, "Adult (23+)", M1000&gt;15, "Teen/Young Adult (16+)")</f>
        <v>Middle Age (30+)</v>
      </c>
      <c r="O1000" s="3" t="s">
        <v>18</v>
      </c>
    </row>
    <row r="1001" spans="1:15" x14ac:dyDescent="0.3">
      <c r="A1001" s="4">
        <v>12121</v>
      </c>
      <c r="B1001" s="3" t="s">
        <v>40</v>
      </c>
      <c r="C1001" s="3" t="s">
        <v>42</v>
      </c>
      <c r="D1001" s="11">
        <v>60000</v>
      </c>
      <c r="E1001" s="9" t="str" cm="1">
        <f t="array" ref="E1001">_xlfn.IFS(D1001&gt;149000, "Very High", D1001&gt;99000, "High", D1001&gt;59999, "Average", D1001&gt;19999, "Low", D1001&gt;0, "Poverty")</f>
        <v>Average</v>
      </c>
      <c r="F1001" s="3">
        <v>3</v>
      </c>
      <c r="G1001" t="s">
        <v>27</v>
      </c>
      <c r="H1001" t="s">
        <v>21</v>
      </c>
      <c r="I1001" s="3" t="s">
        <v>15</v>
      </c>
      <c r="J1001" s="3">
        <v>2</v>
      </c>
      <c r="K1001" t="s">
        <v>30</v>
      </c>
      <c r="L1001" t="s">
        <v>32</v>
      </c>
      <c r="M1001" s="3">
        <v>53</v>
      </c>
      <c r="N1001" s="3" t="str" cm="1">
        <f t="array" ref="N1001">_xlfn.IFS(M1001&gt;59, "Pension Age", M1001&gt;44, "Elderly (45+)", M1001&gt;29, "Middle Age (30+)", M1001&gt;22, "Adult (23+)", M1001&gt;15, "Teen/Young Adult (16+)")</f>
        <v>Elderly (45+)</v>
      </c>
      <c r="O1001" s="3" t="s">
        <v>15</v>
      </c>
    </row>
    <row r="1002" spans="1:15" x14ac:dyDescent="0.3">
      <c r="A1002"/>
      <c r="B1002"/>
      <c r="C1002"/>
      <c r="D1002" s="12"/>
      <c r="E1002" s="10"/>
      <c r="F1002"/>
    </row>
    <row r="1003" spans="1:15" x14ac:dyDescent="0.3">
      <c r="A1003"/>
      <c r="B1003"/>
      <c r="C1003"/>
      <c r="D1003" s="12"/>
      <c r="E1003" s="10"/>
      <c r="F1003"/>
    </row>
    <row r="1004" spans="1:15" x14ac:dyDescent="0.3">
      <c r="A1004"/>
      <c r="B1004"/>
      <c r="C1004"/>
      <c r="D1004" s="12"/>
      <c r="E1004" s="10"/>
      <c r="F1004"/>
    </row>
    <row r="1005" spans="1:15" x14ac:dyDescent="0.3">
      <c r="A1005"/>
      <c r="B1005"/>
      <c r="C1005"/>
      <c r="D1005" s="12"/>
      <c r="E1005" s="10"/>
      <c r="F1005"/>
    </row>
    <row r="1006" spans="1:15" x14ac:dyDescent="0.3">
      <c r="A1006"/>
      <c r="B1006"/>
      <c r="C1006"/>
      <c r="D1006" s="12"/>
      <c r="E1006" s="10"/>
      <c r="F1006"/>
    </row>
    <row r="1007" spans="1:15" x14ac:dyDescent="0.3">
      <c r="A1007"/>
      <c r="B1007"/>
      <c r="C1007"/>
      <c r="D1007" s="12"/>
      <c r="E1007" s="10"/>
      <c r="F1007"/>
    </row>
    <row r="1008" spans="1:15" x14ac:dyDescent="0.3">
      <c r="A1008"/>
      <c r="B1008"/>
      <c r="C1008"/>
      <c r="D1008" s="12"/>
      <c r="E1008" s="10"/>
      <c r="F1008"/>
    </row>
    <row r="1009" spans="1:6" x14ac:dyDescent="0.3">
      <c r="A1009"/>
      <c r="B1009"/>
      <c r="C1009"/>
      <c r="D1009" s="12"/>
      <c r="E1009" s="10"/>
      <c r="F1009"/>
    </row>
    <row r="1010" spans="1:6" x14ac:dyDescent="0.3">
      <c r="A1010"/>
      <c r="B1010"/>
      <c r="C1010"/>
      <c r="D1010" s="12"/>
      <c r="E1010" s="10"/>
      <c r="F1010"/>
    </row>
    <row r="1011" spans="1:6" x14ac:dyDescent="0.3">
      <c r="A1011"/>
      <c r="B1011"/>
      <c r="C1011"/>
      <c r="D1011" s="12"/>
      <c r="E1011" s="10"/>
      <c r="F1011"/>
    </row>
    <row r="1012" spans="1:6" x14ac:dyDescent="0.3">
      <c r="A1012"/>
      <c r="B1012"/>
      <c r="C1012"/>
      <c r="D1012" s="12"/>
      <c r="E1012" s="10"/>
      <c r="F1012"/>
    </row>
    <row r="1013" spans="1:6" x14ac:dyDescent="0.3">
      <c r="A1013"/>
      <c r="B1013"/>
      <c r="C1013"/>
      <c r="D1013" s="12"/>
      <c r="E1013" s="10"/>
      <c r="F1013"/>
    </row>
    <row r="1014" spans="1:6" x14ac:dyDescent="0.3">
      <c r="A1014"/>
      <c r="B1014"/>
      <c r="C1014"/>
      <c r="D1014" s="12"/>
      <c r="E1014" s="10"/>
      <c r="F1014"/>
    </row>
    <row r="1015" spans="1:6" x14ac:dyDescent="0.3">
      <c r="A1015"/>
      <c r="B1015"/>
      <c r="C1015"/>
      <c r="D1015" s="12"/>
      <c r="E1015" s="10"/>
      <c r="F1015"/>
    </row>
    <row r="1016" spans="1:6" x14ac:dyDescent="0.3">
      <c r="A1016"/>
      <c r="B1016"/>
      <c r="C1016"/>
      <c r="D1016" s="12"/>
      <c r="E1016" s="10"/>
      <c r="F1016"/>
    </row>
    <row r="1017" spans="1:6" x14ac:dyDescent="0.3">
      <c r="A1017"/>
      <c r="B1017"/>
      <c r="C1017"/>
      <c r="D1017" s="12"/>
      <c r="E1017" s="10"/>
      <c r="F1017"/>
    </row>
    <row r="1018" spans="1:6" x14ac:dyDescent="0.3">
      <c r="A1018"/>
      <c r="B1018"/>
      <c r="C1018"/>
      <c r="D1018" s="12"/>
      <c r="E1018" s="10"/>
      <c r="F1018"/>
    </row>
    <row r="1019" spans="1:6" x14ac:dyDescent="0.3">
      <c r="A1019"/>
      <c r="B1019"/>
      <c r="C1019"/>
      <c r="D1019" s="12"/>
      <c r="E1019" s="10"/>
      <c r="F1019"/>
    </row>
    <row r="1020" spans="1:6" x14ac:dyDescent="0.3">
      <c r="A1020"/>
      <c r="B1020"/>
      <c r="C1020"/>
      <c r="D1020" s="12"/>
      <c r="E1020" s="10"/>
      <c r="F1020"/>
    </row>
    <row r="1021" spans="1:6" x14ac:dyDescent="0.3">
      <c r="A1021"/>
      <c r="B1021"/>
      <c r="C1021"/>
      <c r="D1021" s="12"/>
      <c r="E1021" s="10"/>
      <c r="F1021"/>
    </row>
    <row r="1022" spans="1:6" x14ac:dyDescent="0.3">
      <c r="A1022"/>
      <c r="B1022"/>
      <c r="C1022"/>
      <c r="D1022" s="12"/>
      <c r="E1022" s="10"/>
      <c r="F1022"/>
    </row>
    <row r="1023" spans="1:6" x14ac:dyDescent="0.3">
      <c r="A1023"/>
      <c r="B1023"/>
      <c r="C1023"/>
      <c r="D1023" s="12"/>
      <c r="E1023" s="10"/>
      <c r="F1023"/>
    </row>
    <row r="1024" spans="1:6" x14ac:dyDescent="0.3">
      <c r="A1024"/>
      <c r="B1024"/>
      <c r="C1024"/>
      <c r="D1024" s="12"/>
      <c r="E1024" s="10"/>
      <c r="F1024"/>
    </row>
    <row r="1025" spans="1:6" x14ac:dyDescent="0.3">
      <c r="A1025"/>
      <c r="B1025"/>
      <c r="C1025"/>
      <c r="D1025" s="12"/>
      <c r="E1025" s="10"/>
      <c r="F1025"/>
    </row>
    <row r="1026" spans="1:6" x14ac:dyDescent="0.3">
      <c r="A1026"/>
      <c r="B1026"/>
      <c r="C1026"/>
      <c r="D1026" s="12"/>
      <c r="E1026" s="10"/>
      <c r="F1026"/>
    </row>
    <row r="1027" spans="1:6" x14ac:dyDescent="0.3">
      <c r="A1027"/>
      <c r="B1027"/>
      <c r="C1027"/>
      <c r="D1027" s="12"/>
      <c r="E1027" s="10"/>
      <c r="F1027"/>
    </row>
  </sheetData>
  <autoFilter ref="A1:O1" xr:uid="{20528AF1-9233-4B0D-B76B-0798F2094FEB}"/>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2E715-389B-4A62-807A-115FF4CFD63C}">
  <dimension ref="A1:K84"/>
  <sheetViews>
    <sheetView topLeftCell="A79" zoomScale="115" zoomScaleNormal="115" workbookViewId="0">
      <selection activeCell="A38" sqref="A38"/>
    </sheetView>
  </sheetViews>
  <sheetFormatPr defaultRowHeight="14.4" x14ac:dyDescent="0.3"/>
  <cols>
    <col min="1" max="1" width="21.88671875" bestFit="1" customWidth="1"/>
    <col min="2" max="2" width="15.5546875" bestFit="1" customWidth="1"/>
    <col min="3" max="3" width="5.21875" bestFit="1" customWidth="1"/>
    <col min="4" max="4" width="10.77734375" bestFit="1" customWidth="1"/>
    <col min="5" max="5" width="8" bestFit="1" customWidth="1"/>
    <col min="6" max="6" width="9.109375" bestFit="1" customWidth="1"/>
    <col min="7" max="7" width="10.77734375" bestFit="1" customWidth="1"/>
    <col min="8" max="8" width="6.77734375" bestFit="1" customWidth="1"/>
    <col min="9" max="9" width="3.77734375" bestFit="1" customWidth="1"/>
    <col min="10" max="10" width="12.5546875" bestFit="1" customWidth="1"/>
    <col min="11" max="11" width="21.88671875" bestFit="1" customWidth="1"/>
    <col min="12" max="12" width="4.109375" bestFit="1" customWidth="1"/>
    <col min="13" max="14" width="10.77734375" bestFit="1" customWidth="1"/>
    <col min="15" max="17" width="11.109375" bestFit="1" customWidth="1"/>
    <col min="18" max="18" width="10.77734375" bestFit="1" customWidth="1"/>
  </cols>
  <sheetData>
    <row r="1" spans="1:4" x14ac:dyDescent="0.3">
      <c r="A1" s="6" t="s">
        <v>44</v>
      </c>
      <c r="B1" s="6" t="s">
        <v>38</v>
      </c>
    </row>
    <row r="2" spans="1:4" x14ac:dyDescent="0.3">
      <c r="A2" s="6" t="s">
        <v>36</v>
      </c>
      <c r="B2" t="s">
        <v>18</v>
      </c>
      <c r="C2" t="s">
        <v>15</v>
      </c>
      <c r="D2" t="s">
        <v>37</v>
      </c>
    </row>
    <row r="3" spans="1:4" x14ac:dyDescent="0.3">
      <c r="A3" s="4" t="s">
        <v>41</v>
      </c>
      <c r="B3" s="14">
        <v>53440</v>
      </c>
      <c r="C3" s="14">
        <v>55774.058577405856</v>
      </c>
      <c r="D3" s="14">
        <v>54580.777096114522</v>
      </c>
    </row>
    <row r="4" spans="1:4" x14ac:dyDescent="0.3">
      <c r="A4" s="8" t="s">
        <v>13</v>
      </c>
      <c r="B4" s="14">
        <v>66818.181818181823</v>
      </c>
      <c r="C4" s="14">
        <v>61625</v>
      </c>
      <c r="D4" s="14">
        <v>63972.602739726026</v>
      </c>
    </row>
    <row r="5" spans="1:4" x14ac:dyDescent="0.3">
      <c r="A5" s="8" t="s">
        <v>31</v>
      </c>
      <c r="B5" s="14">
        <v>66000</v>
      </c>
      <c r="C5" s="14">
        <v>61698.113207547169</v>
      </c>
      <c r="D5" s="14">
        <v>63548.387096774197</v>
      </c>
    </row>
    <row r="6" spans="1:4" x14ac:dyDescent="0.3">
      <c r="A6" s="8" t="s">
        <v>19</v>
      </c>
      <c r="B6" s="14">
        <v>49714.285714285717</v>
      </c>
      <c r="C6" s="14">
        <v>52741.93548387097</v>
      </c>
      <c r="D6" s="14">
        <v>51136.36363636364</v>
      </c>
    </row>
    <row r="7" spans="1:4" x14ac:dyDescent="0.3">
      <c r="A7" s="8" t="s">
        <v>27</v>
      </c>
      <c r="B7" s="14">
        <v>43913.043478260872</v>
      </c>
      <c r="C7" s="14">
        <v>45294.117647058825</v>
      </c>
      <c r="D7" s="14">
        <v>44500</v>
      </c>
    </row>
    <row r="8" spans="1:4" x14ac:dyDescent="0.3">
      <c r="A8" s="8" t="s">
        <v>29</v>
      </c>
      <c r="B8" s="14">
        <v>28928.571428571428</v>
      </c>
      <c r="C8" s="14">
        <v>32000</v>
      </c>
      <c r="D8" s="14">
        <v>29736.842105263157</v>
      </c>
    </row>
    <row r="9" spans="1:4" x14ac:dyDescent="0.3">
      <c r="A9" s="4" t="s">
        <v>42</v>
      </c>
      <c r="B9" s="14">
        <v>56208.178438661707</v>
      </c>
      <c r="C9" s="14">
        <v>60123.966942148763</v>
      </c>
      <c r="D9" s="14">
        <v>58062.62230919765</v>
      </c>
    </row>
    <row r="10" spans="1:4" x14ac:dyDescent="0.3">
      <c r="A10" s="8" t="s">
        <v>13</v>
      </c>
      <c r="B10" s="14">
        <v>65633.802816901414</v>
      </c>
      <c r="C10" s="14">
        <v>59325.84269662921</v>
      </c>
      <c r="D10" s="14">
        <v>62125</v>
      </c>
    </row>
    <row r="11" spans="1:4" x14ac:dyDescent="0.3">
      <c r="A11" s="8" t="s">
        <v>31</v>
      </c>
      <c r="B11" s="14">
        <v>70000</v>
      </c>
      <c r="C11" s="14">
        <v>68048.780487804877</v>
      </c>
      <c r="D11" s="14">
        <v>69012.345679012345</v>
      </c>
    </row>
    <row r="12" spans="1:4" x14ac:dyDescent="0.3">
      <c r="A12" s="8" t="s">
        <v>19</v>
      </c>
      <c r="B12" s="14">
        <v>56184.210526315786</v>
      </c>
      <c r="C12" s="14">
        <v>61052.631578947367</v>
      </c>
      <c r="D12" s="14">
        <v>58270.676691729321</v>
      </c>
    </row>
    <row r="13" spans="1:4" x14ac:dyDescent="0.3">
      <c r="A13" s="8" t="s">
        <v>27</v>
      </c>
      <c r="B13" s="14">
        <v>45925.925925925927</v>
      </c>
      <c r="C13" s="14">
        <v>53777.777777777781</v>
      </c>
      <c r="D13" s="14">
        <v>49494.949494949498</v>
      </c>
    </row>
    <row r="14" spans="1:4" x14ac:dyDescent="0.3">
      <c r="A14" s="8" t="s">
        <v>29</v>
      </c>
      <c r="B14" s="14">
        <v>32500</v>
      </c>
      <c r="C14" s="14">
        <v>58000</v>
      </c>
      <c r="D14" s="14">
        <v>39210.526315789473</v>
      </c>
    </row>
    <row r="15" spans="1:4" x14ac:dyDescent="0.3">
      <c r="A15" s="4" t="s">
        <v>37</v>
      </c>
      <c r="B15" s="14">
        <v>54874.759152215796</v>
      </c>
      <c r="C15" s="14">
        <v>57962.577962577961</v>
      </c>
      <c r="D15" s="14">
        <v>56360</v>
      </c>
    </row>
    <row r="22" spans="1:4" x14ac:dyDescent="0.3">
      <c r="A22" s="6" t="s">
        <v>45</v>
      </c>
      <c r="B22" s="6" t="s">
        <v>38</v>
      </c>
    </row>
    <row r="23" spans="1:4" x14ac:dyDescent="0.3">
      <c r="A23" s="6" t="s">
        <v>36</v>
      </c>
      <c r="B23" t="s">
        <v>41</v>
      </c>
      <c r="C23" t="s">
        <v>42</v>
      </c>
      <c r="D23" t="s">
        <v>37</v>
      </c>
    </row>
    <row r="24" spans="1:4" x14ac:dyDescent="0.3">
      <c r="A24" s="4" t="s">
        <v>16</v>
      </c>
      <c r="B24" s="7">
        <v>192</v>
      </c>
      <c r="C24" s="7">
        <v>174</v>
      </c>
      <c r="D24" s="7">
        <v>366</v>
      </c>
    </row>
    <row r="25" spans="1:4" x14ac:dyDescent="0.3">
      <c r="A25" s="4" t="s">
        <v>26</v>
      </c>
      <c r="B25" s="7">
        <v>85</v>
      </c>
      <c r="C25" s="7">
        <v>84</v>
      </c>
      <c r="D25" s="7">
        <v>169</v>
      </c>
    </row>
    <row r="26" spans="1:4" x14ac:dyDescent="0.3">
      <c r="A26" s="4" t="s">
        <v>22</v>
      </c>
      <c r="B26" s="7">
        <v>79</v>
      </c>
      <c r="C26" s="7">
        <v>83</v>
      </c>
      <c r="D26" s="7">
        <v>162</v>
      </c>
    </row>
    <row r="27" spans="1:4" x14ac:dyDescent="0.3">
      <c r="A27" s="4" t="s">
        <v>23</v>
      </c>
      <c r="B27" s="7">
        <v>81</v>
      </c>
      <c r="C27" s="7">
        <v>111</v>
      </c>
      <c r="D27" s="7">
        <v>192</v>
      </c>
    </row>
    <row r="28" spans="1:4" x14ac:dyDescent="0.3">
      <c r="A28" s="4" t="s">
        <v>30</v>
      </c>
      <c r="B28" s="7">
        <v>52</v>
      </c>
      <c r="C28" s="7">
        <v>59</v>
      </c>
      <c r="D28" s="7">
        <v>111</v>
      </c>
    </row>
    <row r="29" spans="1:4" x14ac:dyDescent="0.3">
      <c r="A29" s="4" t="s">
        <v>37</v>
      </c>
      <c r="B29" s="7">
        <v>489</v>
      </c>
      <c r="C29" s="7">
        <v>511</v>
      </c>
      <c r="D29" s="7">
        <v>1000</v>
      </c>
    </row>
    <row r="38" spans="1:4" x14ac:dyDescent="0.3">
      <c r="A38" s="6" t="s">
        <v>45</v>
      </c>
      <c r="B38" s="6" t="s">
        <v>38</v>
      </c>
    </row>
    <row r="39" spans="1:4" x14ac:dyDescent="0.3">
      <c r="A39" s="6" t="s">
        <v>36</v>
      </c>
      <c r="B39" t="s">
        <v>41</v>
      </c>
      <c r="C39" t="s">
        <v>42</v>
      </c>
      <c r="D39" t="s">
        <v>37</v>
      </c>
    </row>
    <row r="40" spans="1:4" x14ac:dyDescent="0.3">
      <c r="A40" s="4" t="s">
        <v>49</v>
      </c>
      <c r="B40" s="7">
        <v>201</v>
      </c>
      <c r="C40" s="7">
        <v>202</v>
      </c>
      <c r="D40" s="7">
        <v>403</v>
      </c>
    </row>
    <row r="41" spans="1:4" x14ac:dyDescent="0.3">
      <c r="A41" s="4" t="s">
        <v>48</v>
      </c>
      <c r="B41" s="7">
        <v>42</v>
      </c>
      <c r="C41" s="7">
        <v>53</v>
      </c>
      <c r="D41" s="7">
        <v>95</v>
      </c>
    </row>
    <row r="42" spans="1:4" x14ac:dyDescent="0.3">
      <c r="A42" s="4" t="s">
        <v>56</v>
      </c>
      <c r="B42" s="7">
        <v>42</v>
      </c>
      <c r="C42" s="7">
        <v>31</v>
      </c>
      <c r="D42" s="7">
        <v>73</v>
      </c>
    </row>
    <row r="43" spans="1:4" x14ac:dyDescent="0.3">
      <c r="A43" s="4" t="s">
        <v>47</v>
      </c>
      <c r="B43" s="7">
        <v>201</v>
      </c>
      <c r="C43" s="7">
        <v>218</v>
      </c>
      <c r="D43" s="7">
        <v>419</v>
      </c>
    </row>
    <row r="44" spans="1:4" x14ac:dyDescent="0.3">
      <c r="A44" s="4" t="s">
        <v>50</v>
      </c>
      <c r="B44" s="7">
        <v>3</v>
      </c>
      <c r="C44" s="7">
        <v>7</v>
      </c>
      <c r="D44" s="7">
        <v>10</v>
      </c>
    </row>
    <row r="45" spans="1:4" x14ac:dyDescent="0.3">
      <c r="A45" s="4" t="s">
        <v>37</v>
      </c>
      <c r="B45" s="7">
        <v>489</v>
      </c>
      <c r="C45" s="7">
        <v>511</v>
      </c>
      <c r="D45" s="7">
        <v>1000</v>
      </c>
    </row>
    <row r="57" spans="1:4" x14ac:dyDescent="0.3">
      <c r="A57" s="6" t="s">
        <v>45</v>
      </c>
      <c r="B57" s="6" t="s">
        <v>38</v>
      </c>
    </row>
    <row r="58" spans="1:4" x14ac:dyDescent="0.3">
      <c r="A58" s="6" t="s">
        <v>36</v>
      </c>
      <c r="B58" t="s">
        <v>39</v>
      </c>
      <c r="C58" t="s">
        <v>40</v>
      </c>
      <c r="D58" t="s">
        <v>37</v>
      </c>
    </row>
    <row r="59" spans="1:4" x14ac:dyDescent="0.3">
      <c r="A59" s="4" t="s">
        <v>55</v>
      </c>
      <c r="B59" s="7">
        <v>30</v>
      </c>
      <c r="C59" s="7">
        <v>53</v>
      </c>
      <c r="D59" s="7">
        <v>83</v>
      </c>
    </row>
    <row r="60" spans="1:4" x14ac:dyDescent="0.3">
      <c r="A60" s="4" t="s">
        <v>52</v>
      </c>
      <c r="B60" s="7">
        <v>217</v>
      </c>
      <c r="C60" s="7">
        <v>251</v>
      </c>
      <c r="D60" s="7">
        <v>468</v>
      </c>
    </row>
    <row r="61" spans="1:4" x14ac:dyDescent="0.3">
      <c r="A61" s="4" t="s">
        <v>54</v>
      </c>
      <c r="B61" s="7">
        <v>215</v>
      </c>
      <c r="C61" s="7">
        <v>119</v>
      </c>
      <c r="D61" s="7">
        <v>334</v>
      </c>
    </row>
    <row r="62" spans="1:4" x14ac:dyDescent="0.3">
      <c r="A62" s="4" t="s">
        <v>53</v>
      </c>
      <c r="B62" s="7">
        <v>76</v>
      </c>
      <c r="C62" s="7">
        <v>39</v>
      </c>
      <c r="D62" s="7">
        <v>115</v>
      </c>
    </row>
    <row r="63" spans="1:4" x14ac:dyDescent="0.3">
      <c r="A63" s="4" t="s">
        <v>37</v>
      </c>
      <c r="B63" s="7">
        <v>538</v>
      </c>
      <c r="C63" s="7">
        <v>462</v>
      </c>
      <c r="D63" s="7">
        <v>1000</v>
      </c>
    </row>
    <row r="76" spans="1:11" x14ac:dyDescent="0.3">
      <c r="A76" s="6" t="s">
        <v>45</v>
      </c>
      <c r="B76" s="6" t="s">
        <v>38</v>
      </c>
      <c r="J76" s="6" t="s">
        <v>36</v>
      </c>
      <c r="K76" t="s">
        <v>45</v>
      </c>
    </row>
    <row r="77" spans="1:11" x14ac:dyDescent="0.3">
      <c r="A77" s="6" t="s">
        <v>36</v>
      </c>
      <c r="B77" t="s">
        <v>56</v>
      </c>
      <c r="C77" t="s">
        <v>49</v>
      </c>
      <c r="D77" t="s">
        <v>47</v>
      </c>
      <c r="E77" t="s">
        <v>48</v>
      </c>
      <c r="F77" t="s">
        <v>50</v>
      </c>
      <c r="G77" t="s">
        <v>37</v>
      </c>
      <c r="J77" s="4" t="s">
        <v>39</v>
      </c>
      <c r="K77" s="7">
        <v>538</v>
      </c>
    </row>
    <row r="78" spans="1:11" x14ac:dyDescent="0.3">
      <c r="A78" s="4" t="s">
        <v>17</v>
      </c>
      <c r="B78" s="15">
        <v>0.6785714285714286</v>
      </c>
      <c r="C78" s="15">
        <v>0.54871794871794877</v>
      </c>
      <c r="D78" s="15">
        <v>3.864734299516908E-2</v>
      </c>
      <c r="E78" s="15">
        <v>0.25</v>
      </c>
      <c r="F78" s="15">
        <v>0.42857142857142855</v>
      </c>
      <c r="G78" s="15">
        <v>0.30769230769230771</v>
      </c>
      <c r="J78" s="4" t="s">
        <v>40</v>
      </c>
      <c r="K78" s="7">
        <v>462</v>
      </c>
    </row>
    <row r="79" spans="1:11" x14ac:dyDescent="0.3">
      <c r="A79" s="8" t="s">
        <v>15</v>
      </c>
      <c r="B79" s="15">
        <v>0.6785714285714286</v>
      </c>
      <c r="C79" s="15">
        <v>0.54871794871794877</v>
      </c>
      <c r="D79" s="15">
        <v>3.864734299516908E-2</v>
      </c>
      <c r="E79" s="15">
        <v>0.25</v>
      </c>
      <c r="F79" s="15">
        <v>0.42857142857142855</v>
      </c>
      <c r="G79" s="15">
        <v>0.30769230769230771</v>
      </c>
      <c r="J79" s="4" t="s">
        <v>37</v>
      </c>
      <c r="K79" s="7">
        <v>1000</v>
      </c>
    </row>
    <row r="80" spans="1:11" x14ac:dyDescent="0.3">
      <c r="A80" s="4" t="s">
        <v>32</v>
      </c>
      <c r="B80" s="15">
        <v>3.5714285714285712E-2</v>
      </c>
      <c r="C80" s="15">
        <v>0.28205128205128205</v>
      </c>
      <c r="D80" s="15">
        <v>0.71497584541062797</v>
      </c>
      <c r="E80" s="15">
        <v>0.34090909090909088</v>
      </c>
      <c r="F80" s="15">
        <v>0.14285714285714285</v>
      </c>
      <c r="G80" s="15">
        <v>0.45738045738045741</v>
      </c>
    </row>
    <row r="81" spans="1:7" x14ac:dyDescent="0.3">
      <c r="A81" s="8" t="s">
        <v>15</v>
      </c>
      <c r="B81" s="15">
        <v>3.5714285714285712E-2</v>
      </c>
      <c r="C81" s="15">
        <v>0.28205128205128205</v>
      </c>
      <c r="D81" s="15">
        <v>0.71497584541062797</v>
      </c>
      <c r="E81" s="15">
        <v>0.34090909090909088</v>
      </c>
      <c r="F81" s="15">
        <v>0.14285714285714285</v>
      </c>
      <c r="G81" s="15">
        <v>0.45738045738045741</v>
      </c>
    </row>
    <row r="82" spans="1:7" x14ac:dyDescent="0.3">
      <c r="A82" s="4" t="s">
        <v>24</v>
      </c>
      <c r="B82" s="15">
        <v>0.2857142857142857</v>
      </c>
      <c r="C82" s="15">
        <v>0.16923076923076924</v>
      </c>
      <c r="D82" s="15">
        <v>0.24637681159420291</v>
      </c>
      <c r="E82" s="15">
        <v>0.40909090909090912</v>
      </c>
      <c r="F82" s="15">
        <v>0.42857142857142855</v>
      </c>
      <c r="G82" s="15">
        <v>0.23492723492723494</v>
      </c>
    </row>
    <row r="83" spans="1:7" x14ac:dyDescent="0.3">
      <c r="A83" s="8" t="s">
        <v>15</v>
      </c>
      <c r="B83" s="15">
        <v>0.2857142857142857</v>
      </c>
      <c r="C83" s="15">
        <v>0.16923076923076924</v>
      </c>
      <c r="D83" s="15">
        <v>0.24637681159420291</v>
      </c>
      <c r="E83" s="15">
        <v>0.40909090909090912</v>
      </c>
      <c r="F83" s="15">
        <v>0.42857142857142855</v>
      </c>
      <c r="G83" s="15">
        <v>0.23492723492723494</v>
      </c>
    </row>
    <row r="84" spans="1:7" x14ac:dyDescent="0.3">
      <c r="A84" s="4" t="s">
        <v>37</v>
      </c>
      <c r="B84" s="15">
        <v>1</v>
      </c>
      <c r="C84" s="15">
        <v>1</v>
      </c>
      <c r="D84" s="15">
        <v>1</v>
      </c>
      <c r="E84" s="15">
        <v>1</v>
      </c>
      <c r="F84" s="15">
        <v>1</v>
      </c>
      <c r="G84" s="15">
        <v>1</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E99B7-4B37-4B60-B3C8-C6C937A88F16}">
  <dimension ref="A1:Z11"/>
  <sheetViews>
    <sheetView showGridLines="0" tabSelected="1" zoomScale="85" zoomScaleNormal="85" workbookViewId="0">
      <selection activeCell="K55" sqref="K55"/>
    </sheetView>
  </sheetViews>
  <sheetFormatPr defaultRowHeight="14.4" x14ac:dyDescent="0.3"/>
  <sheetData>
    <row r="1" spans="1:26" ht="14.4" customHeight="1" x14ac:dyDescent="0.3">
      <c r="A1" s="13" t="s">
        <v>51</v>
      </c>
      <c r="B1" s="13"/>
      <c r="C1" s="13"/>
      <c r="D1" s="13"/>
      <c r="E1" s="13"/>
      <c r="F1" s="13"/>
      <c r="G1" s="13"/>
      <c r="H1" s="13"/>
      <c r="I1" s="13"/>
      <c r="J1" s="13"/>
      <c r="K1" s="13"/>
      <c r="L1" s="13"/>
      <c r="M1" s="13"/>
      <c r="N1" s="13"/>
      <c r="O1" s="13"/>
      <c r="P1" s="13"/>
      <c r="Q1" s="13"/>
      <c r="R1" s="13"/>
      <c r="S1" s="13"/>
      <c r="T1" s="13"/>
      <c r="U1" s="13"/>
      <c r="V1" s="13"/>
      <c r="W1" s="13"/>
      <c r="X1" s="13"/>
      <c r="Y1" s="13"/>
      <c r="Z1" s="13"/>
    </row>
    <row r="2" spans="1:26" x14ac:dyDescent="0.3">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x14ac:dyDescent="0.3">
      <c r="A3" s="13"/>
      <c r="B3" s="13"/>
      <c r="C3" s="13"/>
      <c r="D3" s="13"/>
      <c r="E3" s="13"/>
      <c r="F3" s="13"/>
      <c r="G3" s="13"/>
      <c r="H3" s="13"/>
      <c r="I3" s="13"/>
      <c r="J3" s="13"/>
      <c r="K3" s="13"/>
      <c r="L3" s="13"/>
      <c r="M3" s="13"/>
      <c r="N3" s="13"/>
      <c r="O3" s="13"/>
      <c r="P3" s="13"/>
      <c r="Q3" s="13"/>
      <c r="R3" s="13"/>
      <c r="S3" s="13"/>
      <c r="T3" s="13"/>
      <c r="U3" s="13"/>
      <c r="V3" s="13"/>
      <c r="W3" s="13"/>
      <c r="X3" s="13"/>
      <c r="Y3" s="13"/>
      <c r="Z3" s="13"/>
    </row>
    <row r="4" spans="1:26" x14ac:dyDescent="0.3">
      <c r="A4" s="13"/>
      <c r="B4" s="13"/>
      <c r="C4" s="13"/>
      <c r="D4" s="13"/>
      <c r="E4" s="13"/>
      <c r="F4" s="13"/>
      <c r="G4" s="13"/>
      <c r="H4" s="13"/>
      <c r="I4" s="13"/>
      <c r="J4" s="13"/>
      <c r="K4" s="13"/>
      <c r="L4" s="13"/>
      <c r="M4" s="13"/>
      <c r="N4" s="13"/>
      <c r="O4" s="13"/>
      <c r="P4" s="13"/>
      <c r="Q4" s="13"/>
      <c r="R4" s="13"/>
      <c r="S4" s="13"/>
      <c r="T4" s="13"/>
      <c r="U4" s="13"/>
      <c r="V4" s="13"/>
      <c r="W4" s="13"/>
      <c r="X4" s="13"/>
      <c r="Y4" s="13"/>
      <c r="Z4" s="13"/>
    </row>
    <row r="5" spans="1:26" x14ac:dyDescent="0.3">
      <c r="A5" s="13"/>
      <c r="B5" s="13"/>
      <c r="C5" s="13"/>
      <c r="D5" s="13"/>
      <c r="E5" s="13"/>
      <c r="F5" s="13"/>
      <c r="G5" s="13"/>
      <c r="H5" s="13"/>
      <c r="I5" s="13"/>
      <c r="J5" s="13"/>
      <c r="K5" s="13"/>
      <c r="L5" s="13"/>
      <c r="M5" s="13"/>
      <c r="N5" s="13"/>
      <c r="O5" s="13"/>
      <c r="P5" s="13"/>
      <c r="Q5" s="13"/>
      <c r="R5" s="13"/>
      <c r="S5" s="13"/>
      <c r="T5" s="13"/>
      <c r="U5" s="13"/>
      <c r="V5" s="13"/>
      <c r="W5" s="13"/>
      <c r="X5" s="13"/>
      <c r="Y5" s="13"/>
      <c r="Z5" s="13"/>
    </row>
    <row r="6" spans="1:26" x14ac:dyDescent="0.3">
      <c r="A6" s="13"/>
      <c r="B6" s="13"/>
      <c r="C6" s="13"/>
      <c r="D6" s="13"/>
      <c r="E6" s="13"/>
      <c r="F6" s="13"/>
      <c r="G6" s="13"/>
      <c r="H6" s="13"/>
      <c r="I6" s="13"/>
      <c r="J6" s="13"/>
      <c r="K6" s="13"/>
      <c r="L6" s="13"/>
      <c r="M6" s="13"/>
      <c r="N6" s="13"/>
      <c r="O6" s="13"/>
      <c r="P6" s="13"/>
      <c r="Q6" s="13"/>
      <c r="R6" s="13"/>
      <c r="S6" s="13"/>
      <c r="T6" s="13"/>
      <c r="U6" s="13"/>
      <c r="V6" s="13"/>
      <c r="W6" s="13"/>
      <c r="X6" s="13"/>
      <c r="Y6" s="13"/>
      <c r="Z6" s="13"/>
    </row>
    <row r="7" spans="1:26" x14ac:dyDescent="0.3">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x14ac:dyDescent="0.3">
      <c r="A8" s="13"/>
      <c r="B8" s="13"/>
      <c r="C8" s="13"/>
      <c r="D8" s="13"/>
      <c r="E8" s="13"/>
      <c r="F8" s="13"/>
      <c r="G8" s="13"/>
      <c r="H8" s="13"/>
      <c r="I8" s="13"/>
      <c r="J8" s="13"/>
      <c r="K8" s="13"/>
      <c r="L8" s="13"/>
      <c r="M8" s="13"/>
      <c r="N8" s="13"/>
      <c r="O8" s="13"/>
      <c r="P8" s="13"/>
      <c r="Q8" s="13"/>
      <c r="R8" s="13"/>
      <c r="S8" s="13"/>
      <c r="T8" s="13"/>
      <c r="U8" s="13"/>
      <c r="V8" s="13"/>
      <c r="W8" s="13"/>
      <c r="X8" s="13"/>
      <c r="Y8" s="13"/>
      <c r="Z8" s="13"/>
    </row>
    <row r="9" spans="1:26" x14ac:dyDescent="0.3">
      <c r="A9" s="13"/>
      <c r="B9" s="13"/>
      <c r="C9" s="13"/>
      <c r="D9" s="13"/>
      <c r="E9" s="13"/>
      <c r="F9" s="13"/>
      <c r="G9" s="13"/>
      <c r="H9" s="13"/>
      <c r="I9" s="13"/>
      <c r="J9" s="13"/>
      <c r="K9" s="13"/>
      <c r="L9" s="13"/>
      <c r="M9" s="13"/>
      <c r="N9" s="13"/>
      <c r="O9" s="13"/>
      <c r="P9" s="13"/>
      <c r="Q9" s="13"/>
      <c r="R9" s="13"/>
      <c r="S9" s="13"/>
      <c r="T9" s="13"/>
      <c r="U9" s="13"/>
      <c r="V9" s="13"/>
      <c r="W9" s="13"/>
      <c r="X9" s="13"/>
      <c r="Y9" s="13"/>
      <c r="Z9" s="13"/>
    </row>
    <row r="10" spans="1:26"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sheetData>
  <mergeCells count="1">
    <mergeCell ref="A1:Z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Margareth Suhaimi</dc:creator>
  <cp:lastModifiedBy>Margareth Suhaimi</cp:lastModifiedBy>
  <dcterms:created xsi:type="dcterms:W3CDTF">2022-03-18T02:50:57Z</dcterms:created>
  <dcterms:modified xsi:type="dcterms:W3CDTF">2026-01-13T06:56:12Z</dcterms:modified>
</cp:coreProperties>
</file>